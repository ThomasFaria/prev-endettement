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iaketienne/Desktop/"/>
    </mc:Choice>
  </mc:AlternateContent>
  <xr:revisionPtr revIDLastSave="0" documentId="13_ncr:1_{40EAEBB5-1FFB-1E4A-9274-B74F5912BF7A}" xr6:coauthVersionLast="47" xr6:coauthVersionMax="47" xr10:uidLastSave="{00000000-0000-0000-0000-000000000000}"/>
  <bookViews>
    <workbookView xWindow="0" yWindow="740" windowWidth="29400" windowHeight="18380" firstSheet="11" activeTab="23" xr2:uid="{E863FD5F-2E01-9C45-9F83-94EF613E7B25}"/>
  </bookViews>
  <sheets>
    <sheet name="Explication" sheetId="4" r:id="rId1"/>
    <sheet name="Prev_j_2015" sheetId="1" r:id="rId2"/>
    <sheet name="Prev_d_2015" sheetId="2" r:id="rId3"/>
    <sheet name="Prev_j_2016" sheetId="3" r:id="rId4"/>
    <sheet name="Prev_d_2016" sheetId="5" r:id="rId5"/>
    <sheet name="Prev_j_2017" sheetId="6" r:id="rId6"/>
    <sheet name="Prev_d_2017" sheetId="7" r:id="rId7"/>
    <sheet name="Prev_j_2018" sheetId="8" r:id="rId8"/>
    <sheet name="Prev_d_2018" sheetId="9" r:id="rId9"/>
    <sheet name="Prev_j_2019" sheetId="10" r:id="rId10"/>
    <sheet name="Prev_d_2019" sheetId="11" r:id="rId11"/>
    <sheet name="Prev_j_2020" sheetId="12" r:id="rId12"/>
    <sheet name="Prev_d_2020" sheetId="13" r:id="rId13"/>
    <sheet name="Prev_j_2021" sheetId="14" r:id="rId14"/>
    <sheet name="Prev_d_2021" sheetId="15" r:id="rId15"/>
    <sheet name="Prev_j_2022" sheetId="16" r:id="rId16"/>
    <sheet name="Prev_d_2022" sheetId="17" r:id="rId17"/>
    <sheet name="Prev_j_2023" sheetId="18" r:id="rId18"/>
    <sheet name="Prev_d_2023" sheetId="19" r:id="rId19"/>
    <sheet name="Prev_j_2024" sheetId="20" r:id="rId20"/>
    <sheet name="Prev_d_2024" sheetId="21" r:id="rId21"/>
    <sheet name="Prev_j_2025" sheetId="22" r:id="rId22"/>
    <sheet name="Prev_d_2025" sheetId="23" r:id="rId23"/>
    <sheet name="Last" sheetId="24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4" l="1"/>
  <c r="B4" i="24"/>
  <c r="G3" i="24"/>
  <c r="B3" i="24"/>
  <c r="G2" i="24"/>
  <c r="B2" i="24"/>
  <c r="G4" i="23"/>
  <c r="B4" i="23"/>
  <c r="G3" i="23"/>
  <c r="B3" i="23"/>
  <c r="G2" i="23"/>
  <c r="B2" i="23"/>
  <c r="G4" i="22"/>
  <c r="B4" i="22"/>
  <c r="G3" i="22"/>
  <c r="B3" i="22"/>
  <c r="G2" i="22"/>
  <c r="B2" i="22"/>
  <c r="G4" i="21"/>
  <c r="B4" i="21"/>
  <c r="G3" i="21"/>
  <c r="B3" i="21"/>
  <c r="G2" i="21"/>
  <c r="B2" i="21"/>
  <c r="G4" i="20"/>
  <c r="B4" i="20"/>
  <c r="G3" i="20"/>
  <c r="B3" i="20"/>
  <c r="G2" i="20"/>
  <c r="B2" i="20"/>
  <c r="G4" i="19"/>
  <c r="B4" i="19"/>
  <c r="G3" i="19"/>
  <c r="B3" i="19"/>
  <c r="G2" i="19"/>
  <c r="B2" i="19"/>
  <c r="G4" i="18"/>
  <c r="B4" i="18"/>
  <c r="G3" i="18"/>
  <c r="B3" i="18"/>
  <c r="G2" i="18"/>
  <c r="B2" i="18"/>
  <c r="H27" i="7"/>
  <c r="G4" i="17"/>
  <c r="B4" i="17"/>
  <c r="G3" i="17"/>
  <c r="B3" i="17"/>
  <c r="G2" i="17"/>
  <c r="B2" i="17"/>
  <c r="G4" i="16"/>
  <c r="B4" i="16"/>
  <c r="G3" i="16"/>
  <c r="B3" i="16"/>
  <c r="G2" i="16"/>
  <c r="B2" i="16"/>
  <c r="G3" i="15"/>
  <c r="G4" i="15"/>
  <c r="G2" i="15"/>
  <c r="G2" i="14"/>
  <c r="G3" i="14"/>
  <c r="G4" i="14"/>
  <c r="G2" i="13"/>
  <c r="G3" i="13"/>
  <c r="G4" i="13"/>
  <c r="G2" i="12"/>
  <c r="G3" i="12"/>
  <c r="G4" i="12"/>
  <c r="G2" i="11"/>
  <c r="G3" i="11"/>
  <c r="G4" i="11"/>
  <c r="G2" i="10"/>
  <c r="G3" i="10"/>
  <c r="G4" i="10"/>
  <c r="G2" i="9"/>
  <c r="G4" i="9"/>
  <c r="G3" i="9"/>
  <c r="G2" i="8"/>
  <c r="G3" i="8"/>
  <c r="G4" i="8"/>
  <c r="G2" i="7"/>
  <c r="G3" i="7"/>
  <c r="G4" i="7"/>
  <c r="G2" i="6"/>
  <c r="G3" i="6"/>
  <c r="G4" i="6"/>
  <c r="G2" i="3"/>
  <c r="B4" i="15"/>
  <c r="B3" i="15"/>
  <c r="B2" i="15"/>
  <c r="B4" i="14"/>
  <c r="B3" i="14"/>
  <c r="B2" i="14"/>
  <c r="B4" i="13"/>
  <c r="B3" i="13"/>
  <c r="B2" i="13"/>
  <c r="B4" i="12"/>
  <c r="B3" i="12"/>
  <c r="B2" i="12"/>
  <c r="B4" i="11"/>
  <c r="B3" i="11"/>
  <c r="B2" i="11"/>
  <c r="B4" i="10"/>
  <c r="B3" i="10"/>
  <c r="B2" i="10"/>
  <c r="B4" i="9"/>
  <c r="B3" i="9"/>
  <c r="B2" i="9"/>
  <c r="B4" i="8"/>
  <c r="B3" i="8"/>
  <c r="B2" i="8"/>
  <c r="B3" i="5"/>
  <c r="B4" i="5"/>
  <c r="B2" i="5"/>
  <c r="G4" i="5"/>
  <c r="G3" i="5"/>
  <c r="G2" i="5"/>
  <c r="B4" i="7"/>
  <c r="B3" i="7"/>
  <c r="B2" i="7"/>
  <c r="B4" i="6"/>
  <c r="B3" i="6"/>
  <c r="B2" i="6"/>
  <c r="G3" i="3"/>
  <c r="G4" i="3"/>
  <c r="B2" i="3"/>
  <c r="G3" i="2"/>
  <c r="G4" i="2"/>
  <c r="G2" i="2"/>
  <c r="G2" i="1"/>
  <c r="G3" i="1"/>
  <c r="G4" i="1"/>
  <c r="B2" i="1"/>
  <c r="B3" i="1"/>
  <c r="B4" i="1"/>
  <c r="B2" i="2"/>
  <c r="B4" i="2"/>
  <c r="B3" i="2"/>
  <c r="B3" i="3"/>
  <c r="B4" i="3"/>
</calcChain>
</file>

<file path=xl/sharedStrings.xml><?xml version="1.0" encoding="utf-8"?>
<sst xmlns="http://schemas.openxmlformats.org/spreadsheetml/2006/main" count="350" uniqueCount="28">
  <si>
    <t>time</t>
  </si>
  <si>
    <t>taux_epargne</t>
  </si>
  <si>
    <t>chomage</t>
  </si>
  <si>
    <t>EURIBOR</t>
  </si>
  <si>
    <t>Taux_long</t>
  </si>
  <si>
    <t>FBCF_variation</t>
  </si>
  <si>
    <t>RDB_variation</t>
  </si>
  <si>
    <t>PIB_variation</t>
  </si>
  <si>
    <t>N_PIB_réel</t>
  </si>
  <si>
    <t>N_Déflateur</t>
  </si>
  <si>
    <t>N_FBCF_réel</t>
  </si>
  <si>
    <t xml:space="preserve">Problématique </t>
  </si>
  <si>
    <t>Utilisation prévision banque de France dans nos prévisions / utile pour test out-of-sample</t>
  </si>
  <si>
    <t>Interet</t>
  </si>
  <si>
    <t>Reconstruction</t>
  </si>
  <si>
    <t>Approximation</t>
  </si>
  <si>
    <t xml:space="preserve">Caractéristiques </t>
  </si>
  <si>
    <t xml:space="preserve">Etape 1 </t>
  </si>
  <si>
    <t>ETAPE 2</t>
  </si>
  <si>
    <t xml:space="preserve">On applique le taux de variation a nos variable pour les avoir en niveau </t>
  </si>
  <si>
    <t>Certains variables sont en taux de variation et pas en niveau</t>
  </si>
  <si>
    <t>Certaines variables sont prédite en valeure réel alors que nos modèles utilisent des variables à prix courant</t>
  </si>
  <si>
    <t xml:space="preserve">La variation des salaires négocié et approximé par la variation des salaires brut </t>
  </si>
  <si>
    <t>salaires</t>
  </si>
  <si>
    <t>Pour le PIB nominal et la FBCF le taux est transformer pour devenir un taux a euro courant comme tel : g_courant = ((1+g_reel/100)*(1+deflateur_du_pib/100) -1) / 100 | Approximation pour variation FBCF</t>
  </si>
  <si>
    <t>salaires_brut</t>
  </si>
  <si>
    <t xml:space="preserve">Problème : Manque de données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</si>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</sst>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11" xfId="0" applyFill="1" applyBorder="1"/>
    <xf numFmtId="0" fontId="0" fillId="3" borderId="10" xfId="0" applyFill="1" applyBorder="1"/>
    <xf numFmtId="0" fontId="0" fillId="3" borderId="2" xfId="0" applyFill="1" applyBorder="1"/>
    <xf numFmtId="0" fontId="0" fillId="0" borderId="3" xfId="0" applyBorder="1"/>
    <xf numFmtId="0" fontId="0" fillId="3" borderId="9" xfId="0" applyFill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0D0B8-2E2E-9743-A36F-8C18BE77FB0B}">
  <dimension ref="A1:B10"/>
  <sheetViews>
    <sheetView workbookViewId="0">
      <selection activeCell="F26" sqref="F26"/>
    </sheetView>
  </sheetViews>
  <sheetFormatPr baseColWidth="10" defaultRowHeight="16" x14ac:dyDescent="0.2"/>
  <cols>
    <col min="1" max="1" width="14.83203125" customWidth="1"/>
  </cols>
  <sheetData>
    <row r="1" spans="1:2" x14ac:dyDescent="0.2">
      <c r="A1" t="s">
        <v>13</v>
      </c>
      <c r="B1" t="s">
        <v>12</v>
      </c>
    </row>
    <row r="3" spans="1:2" x14ac:dyDescent="0.2">
      <c r="A3" t="s">
        <v>16</v>
      </c>
      <c r="B3" t="s">
        <v>20</v>
      </c>
    </row>
    <row r="4" spans="1:2" x14ac:dyDescent="0.2">
      <c r="A4" t="s">
        <v>11</v>
      </c>
      <c r="B4" t="s">
        <v>21</v>
      </c>
    </row>
    <row r="6" spans="1:2" x14ac:dyDescent="0.2">
      <c r="A6" t="s">
        <v>14</v>
      </c>
    </row>
    <row r="7" spans="1:2" x14ac:dyDescent="0.2">
      <c r="A7" t="s">
        <v>17</v>
      </c>
      <c r="B7" t="s">
        <v>24</v>
      </c>
    </row>
    <row r="8" spans="1:2" x14ac:dyDescent="0.2">
      <c r="A8" t="s">
        <v>18</v>
      </c>
      <c r="B8" t="s">
        <v>19</v>
      </c>
    </row>
    <row r="10" spans="1:2" x14ac:dyDescent="0.2">
      <c r="A10" t="s">
        <v>15</v>
      </c>
      <c r="B10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72403-3BF7-404E-9A64-97E3FEEDB617}">
  <dimension ref="A1:L4"/>
  <sheetViews>
    <sheetView workbookViewId="0">
      <selection activeCell="I2" sqref="I2"/>
    </sheetView>
  </sheetViews>
  <sheetFormatPr baseColWidth="10" defaultRowHeight="16" x14ac:dyDescent="0.2"/>
  <sheetData>
    <row r="1" spans="1:12" ht="17" thickBot="1" x14ac:dyDescent="0.25">
      <c r="A1" s="9" t="s">
        <v>0</v>
      </c>
      <c r="B1" s="12" t="s">
        <v>7</v>
      </c>
      <c r="C1" s="10" t="s">
        <v>1</v>
      </c>
      <c r="D1" s="10" t="s">
        <v>2</v>
      </c>
      <c r="E1" s="10" t="s">
        <v>3</v>
      </c>
      <c r="F1" s="10" t="s">
        <v>4</v>
      </c>
      <c r="G1" s="12" t="s">
        <v>5</v>
      </c>
      <c r="H1" s="12" t="s">
        <v>6</v>
      </c>
      <c r="I1" s="11" t="s">
        <v>25</v>
      </c>
      <c r="J1" t="s">
        <v>8</v>
      </c>
      <c r="K1" t="s">
        <v>10</v>
      </c>
      <c r="L1" t="s">
        <v>9</v>
      </c>
    </row>
    <row r="2" spans="1:12" x14ac:dyDescent="0.2">
      <c r="A2" s="4">
        <v>2015</v>
      </c>
      <c r="B2">
        <f xml:space="preserve"> ((1+J2/100) * (1+L2/100) -1) * 100</f>
        <v>2.2119999999999918</v>
      </c>
      <c r="C2">
        <v>15.1</v>
      </c>
      <c r="D2">
        <v>10.3</v>
      </c>
      <c r="E2">
        <v>0</v>
      </c>
      <c r="F2">
        <v>0.9</v>
      </c>
      <c r="G2">
        <f xml:space="preserve"> ((1+K2/100) * (1+L2/100) -1) * 100</f>
        <v>2.1109999999999962</v>
      </c>
      <c r="H2">
        <v>1.7</v>
      </c>
      <c r="I2" s="5">
        <v>0.9</v>
      </c>
      <c r="J2">
        <v>1.2</v>
      </c>
      <c r="K2">
        <v>1.1000000000000001</v>
      </c>
      <c r="L2">
        <v>1</v>
      </c>
    </row>
    <row r="3" spans="1:12" x14ac:dyDescent="0.2">
      <c r="A3" s="4">
        <v>2016</v>
      </c>
      <c r="B3">
        <f xml:space="preserve"> ((1+J3/100) * (1+L3/100) -1) * 100</f>
        <v>2.8180000000000094</v>
      </c>
      <c r="C3">
        <v>14.9</v>
      </c>
      <c r="D3">
        <v>10.1</v>
      </c>
      <c r="E3">
        <v>0</v>
      </c>
      <c r="F3">
        <v>1.2</v>
      </c>
      <c r="G3">
        <f xml:space="preserve"> ((1+K3/100) * (1+L3/100) -1) * 100</f>
        <v>5.4440000000000044</v>
      </c>
      <c r="H3">
        <v>2.6</v>
      </c>
      <c r="I3" s="5">
        <v>1.4</v>
      </c>
      <c r="J3">
        <v>1.8</v>
      </c>
      <c r="K3">
        <v>4.4000000000000004</v>
      </c>
      <c r="L3">
        <v>1</v>
      </c>
    </row>
    <row r="4" spans="1:12" ht="17" thickBot="1" x14ac:dyDescent="0.25">
      <c r="A4" s="6">
        <v>2017</v>
      </c>
      <c r="B4" s="7">
        <f xml:space="preserve"> ((1+J4/100) * (1+L4/100) -1) * 100</f>
        <v>3.1227999999999811</v>
      </c>
      <c r="C4" s="7">
        <v>14.9</v>
      </c>
      <c r="D4" s="7">
        <v>9.6</v>
      </c>
      <c r="E4" s="7">
        <v>0.2</v>
      </c>
      <c r="F4" s="7">
        <v>1.5</v>
      </c>
      <c r="G4" s="7">
        <f xml:space="preserve"> ((1+K4/100) * (1+L4/100) -1) * 100</f>
        <v>5.4504000000000108</v>
      </c>
      <c r="H4" s="7">
        <v>3.1</v>
      </c>
      <c r="I4" s="8">
        <v>1.8</v>
      </c>
      <c r="J4">
        <v>1.9</v>
      </c>
      <c r="K4">
        <v>4.2</v>
      </c>
      <c r="L4">
        <v>1.2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FD03-B9BD-744B-9838-D23E96A53797}">
  <dimension ref="A1:L4"/>
  <sheetViews>
    <sheetView workbookViewId="0">
      <selection activeCell="I2" sqref="I2"/>
    </sheetView>
  </sheetViews>
  <sheetFormatPr baseColWidth="10" defaultRowHeight="16" x14ac:dyDescent="0.2"/>
  <sheetData>
    <row r="1" spans="1:12" ht="17" thickBot="1" x14ac:dyDescent="0.25">
      <c r="A1" s="9" t="s">
        <v>0</v>
      </c>
      <c r="B1" s="12" t="s">
        <v>7</v>
      </c>
      <c r="C1" s="10" t="s">
        <v>1</v>
      </c>
      <c r="D1" s="10" t="s">
        <v>2</v>
      </c>
      <c r="E1" s="10" t="s">
        <v>3</v>
      </c>
      <c r="F1" s="10" t="s">
        <v>4</v>
      </c>
      <c r="G1" s="12" t="s">
        <v>5</v>
      </c>
      <c r="H1" s="12" t="s">
        <v>6</v>
      </c>
      <c r="I1" s="11" t="s">
        <v>25</v>
      </c>
      <c r="J1" t="s">
        <v>8</v>
      </c>
      <c r="K1" t="s">
        <v>10</v>
      </c>
      <c r="L1" t="s">
        <v>9</v>
      </c>
    </row>
    <row r="2" spans="1:12" x14ac:dyDescent="0.2">
      <c r="A2" s="4">
        <v>2015</v>
      </c>
      <c r="B2">
        <f xml:space="preserve"> ((1+J2/100) * (1+L2/100) -1) * 100</f>
        <v>2.5155999999999956</v>
      </c>
      <c r="C2">
        <v>15.2</v>
      </c>
      <c r="D2">
        <v>10.199999999999999</v>
      </c>
      <c r="E2">
        <v>-0.02</v>
      </c>
      <c r="F2">
        <v>0.9</v>
      </c>
      <c r="G2">
        <f xml:space="preserve"> ((1+K2/100) * (1+L2/100) -1) * 100</f>
        <v>3.2246999999999693</v>
      </c>
      <c r="H2">
        <v>1.7</v>
      </c>
      <c r="I2" s="5">
        <v>1.1000000000000001</v>
      </c>
      <c r="J2">
        <v>1.2</v>
      </c>
      <c r="K2">
        <v>1.9</v>
      </c>
      <c r="L2">
        <v>1.3</v>
      </c>
    </row>
    <row r="3" spans="1:12" x14ac:dyDescent="0.2">
      <c r="A3" s="4">
        <v>2016</v>
      </c>
      <c r="B3">
        <f xml:space="preserve"> ((1+J3/100) * (1+L3/100) -1) * 100</f>
        <v>2.5153999999999899</v>
      </c>
      <c r="C3">
        <v>15</v>
      </c>
      <c r="D3">
        <v>10</v>
      </c>
      <c r="E3">
        <v>-0.19</v>
      </c>
      <c r="F3">
        <v>1.1000000000000001</v>
      </c>
      <c r="G3">
        <f t="shared" ref="G3:G4" si="0" xml:space="preserve"> ((1+K3/100) * (1+L3/100) -1) * 100</f>
        <v>4.5374000000000025</v>
      </c>
      <c r="H3">
        <v>2.1</v>
      </c>
      <c r="I3" s="5">
        <v>1.2</v>
      </c>
      <c r="J3">
        <v>1.4</v>
      </c>
      <c r="K3">
        <v>3.4</v>
      </c>
      <c r="L3">
        <v>1.1000000000000001</v>
      </c>
    </row>
    <row r="4" spans="1:12" ht="17" thickBot="1" x14ac:dyDescent="0.25">
      <c r="A4" s="6">
        <v>2017</v>
      </c>
      <c r="B4" s="7">
        <f xml:space="preserve"> ((1+J4/100) * (1+L4/100) -1) * 100</f>
        <v>2.8191999999999995</v>
      </c>
      <c r="C4" s="7">
        <v>14.9</v>
      </c>
      <c r="D4" s="7">
        <v>9.6999999999999993</v>
      </c>
      <c r="E4" s="7">
        <v>-0.12</v>
      </c>
      <c r="F4" s="7">
        <v>1.4</v>
      </c>
      <c r="G4" s="7">
        <f t="shared" si="0"/>
        <v>4.5395999999999992</v>
      </c>
      <c r="H4" s="7">
        <v>2.6</v>
      </c>
      <c r="I4" s="8">
        <v>1.6</v>
      </c>
      <c r="J4">
        <v>1.6</v>
      </c>
      <c r="K4">
        <v>3.3</v>
      </c>
      <c r="L4">
        <v>1.2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27F13-BBD4-3C47-9A65-2E3587C207DC}">
  <dimension ref="A1:L4"/>
  <sheetViews>
    <sheetView workbookViewId="0">
      <selection activeCell="G3" sqref="G3"/>
    </sheetView>
  </sheetViews>
  <sheetFormatPr baseColWidth="10" defaultRowHeight="16" x14ac:dyDescent="0.2"/>
  <sheetData>
    <row r="1" spans="1:12" ht="17" thickBot="1" x14ac:dyDescent="0.25">
      <c r="A1" s="9" t="s">
        <v>0</v>
      </c>
      <c r="B1" s="12" t="s">
        <v>7</v>
      </c>
      <c r="C1" s="10" t="s">
        <v>1</v>
      </c>
      <c r="D1" s="10" t="s">
        <v>2</v>
      </c>
      <c r="E1" s="10" t="s">
        <v>3</v>
      </c>
      <c r="F1" s="10" t="s">
        <v>4</v>
      </c>
      <c r="G1" s="12" t="s">
        <v>5</v>
      </c>
      <c r="H1" s="12" t="s">
        <v>6</v>
      </c>
      <c r="I1" s="11" t="s">
        <v>25</v>
      </c>
      <c r="J1" t="s">
        <v>8</v>
      </c>
      <c r="K1" t="s">
        <v>10</v>
      </c>
      <c r="L1" t="s">
        <v>9</v>
      </c>
    </row>
    <row r="2" spans="1:12" x14ac:dyDescent="0.2">
      <c r="A2" s="4">
        <v>2016</v>
      </c>
      <c r="B2">
        <f xml:space="preserve"> ((1+J2/100) * (1+L2/100) -1) * 100</f>
        <v>2.5153999999999899</v>
      </c>
      <c r="C2">
        <v>14.3</v>
      </c>
      <c r="D2" s="2">
        <v>10.1</v>
      </c>
      <c r="E2">
        <v>-0.3</v>
      </c>
      <c r="F2">
        <v>0.6</v>
      </c>
      <c r="G2">
        <f xml:space="preserve"> ((1+K2/100) * (1+L2/100) -1) * 100</f>
        <v>4.5374000000000025</v>
      </c>
      <c r="H2">
        <v>2.1</v>
      </c>
      <c r="I2" s="5">
        <v>1.2</v>
      </c>
      <c r="J2">
        <v>1.4</v>
      </c>
      <c r="K2">
        <v>3.4</v>
      </c>
      <c r="L2">
        <v>1.1000000000000001</v>
      </c>
    </row>
    <row r="3" spans="1:12" x14ac:dyDescent="0.2">
      <c r="A3" s="4">
        <v>2017</v>
      </c>
      <c r="B3">
        <f xml:space="preserve"> ((1+J3/100) * (1+L3/100) -1) * 100</f>
        <v>2.6164999999999772</v>
      </c>
      <c r="C3">
        <v>14.4</v>
      </c>
      <c r="D3">
        <v>10</v>
      </c>
      <c r="E3">
        <v>-0.3</v>
      </c>
      <c r="F3">
        <v>0.7</v>
      </c>
      <c r="G3">
        <f t="shared" ref="G3:G4" si="0" xml:space="preserve"> ((1+K3/100) * (1+L3/100) -1) * 100</f>
        <v>4.234099999999974</v>
      </c>
      <c r="H3">
        <v>2.2999999999999998</v>
      </c>
      <c r="I3" s="5">
        <v>1.3</v>
      </c>
      <c r="J3">
        <v>1.5</v>
      </c>
      <c r="K3">
        <v>3.1</v>
      </c>
      <c r="L3">
        <v>1.1000000000000001</v>
      </c>
    </row>
    <row r="4" spans="1:12" ht="17" thickBot="1" x14ac:dyDescent="0.25">
      <c r="A4" s="6">
        <v>2018</v>
      </c>
      <c r="B4" s="7">
        <f xml:space="preserve"> ((1+J4/100) * (1+L4/100) -1) * 100</f>
        <v>2.9207999999999901</v>
      </c>
      <c r="C4" s="7">
        <v>14.6</v>
      </c>
      <c r="D4" s="7">
        <v>9.8000000000000007</v>
      </c>
      <c r="E4" s="7">
        <v>-0.3</v>
      </c>
      <c r="F4" s="7">
        <v>1</v>
      </c>
      <c r="G4" s="7">
        <f t="shared" si="0"/>
        <v>4.6428999999999832</v>
      </c>
      <c r="H4" s="7">
        <v>2.9</v>
      </c>
      <c r="I4" s="8">
        <v>1.6</v>
      </c>
      <c r="J4">
        <v>1.6</v>
      </c>
      <c r="K4">
        <v>3.3</v>
      </c>
      <c r="L4">
        <v>1.3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653E2-5191-E94D-AC46-EE1B5E750DF0}">
  <dimension ref="A1:L4"/>
  <sheetViews>
    <sheetView workbookViewId="0">
      <selection activeCell="G2" sqref="G2"/>
    </sheetView>
  </sheetViews>
  <sheetFormatPr baseColWidth="10" defaultRowHeight="16" x14ac:dyDescent="0.2"/>
  <sheetData>
    <row r="1" spans="1:12" ht="17" thickBot="1" x14ac:dyDescent="0.25">
      <c r="A1" s="9" t="s">
        <v>0</v>
      </c>
      <c r="B1" s="15" t="s">
        <v>7</v>
      </c>
      <c r="C1" s="10" t="s">
        <v>1</v>
      </c>
      <c r="D1" s="10" t="s">
        <v>2</v>
      </c>
      <c r="E1" s="10" t="s">
        <v>3</v>
      </c>
      <c r="F1" s="10" t="s">
        <v>4</v>
      </c>
      <c r="G1" s="12" t="s">
        <v>5</v>
      </c>
      <c r="H1" s="12" t="s">
        <v>6</v>
      </c>
      <c r="I1" s="11" t="s">
        <v>25</v>
      </c>
      <c r="J1" t="s">
        <v>8</v>
      </c>
      <c r="K1" t="s">
        <v>10</v>
      </c>
      <c r="L1" t="s">
        <v>9</v>
      </c>
    </row>
    <row r="2" spans="1:12" x14ac:dyDescent="0.2">
      <c r="A2" s="4">
        <v>2016</v>
      </c>
      <c r="B2">
        <f xml:space="preserve"> ((1+J2/100) * (1+L2/100) -1) * 100</f>
        <v>2.1104000000000012</v>
      </c>
      <c r="C2">
        <v>14.8</v>
      </c>
      <c r="D2">
        <v>10</v>
      </c>
      <c r="E2">
        <v>-0.3</v>
      </c>
      <c r="F2">
        <v>0.5</v>
      </c>
      <c r="G2">
        <f xml:space="preserve"> ((1+K2/100) * (1+L2/100) -1) * 100</f>
        <v>4.1263999999999967</v>
      </c>
      <c r="H2">
        <v>1.8</v>
      </c>
      <c r="I2" s="5">
        <v>1.2</v>
      </c>
      <c r="J2">
        <v>1.3</v>
      </c>
      <c r="K2">
        <v>3.3</v>
      </c>
      <c r="L2">
        <v>0.8</v>
      </c>
    </row>
    <row r="3" spans="1:12" x14ac:dyDescent="0.2">
      <c r="A3" s="4">
        <v>2017</v>
      </c>
      <c r="B3">
        <f t="shared" ref="B3:B4" si="0" xml:space="preserve"> ((1+J3/100) * (1+L3/100) -1) * 100</f>
        <v>2.211699999999972</v>
      </c>
      <c r="C3">
        <v>14.7</v>
      </c>
      <c r="D3">
        <v>9.9</v>
      </c>
      <c r="E3">
        <v>-0.3</v>
      </c>
      <c r="F3">
        <v>0.9</v>
      </c>
      <c r="G3">
        <f xml:space="preserve"> ((1+K3/100) * (1+L3/100) -1) * 100</f>
        <v>2.7161999999999908</v>
      </c>
      <c r="H3">
        <v>2</v>
      </c>
      <c r="I3" s="5">
        <v>1.4</v>
      </c>
      <c r="J3">
        <v>1.3</v>
      </c>
      <c r="K3">
        <v>1.8</v>
      </c>
      <c r="L3">
        <v>0.9</v>
      </c>
    </row>
    <row r="4" spans="1:12" ht="17" thickBot="1" x14ac:dyDescent="0.25">
      <c r="A4" s="6">
        <v>2018</v>
      </c>
      <c r="B4" s="7">
        <f t="shared" si="0"/>
        <v>2.6167999999999969</v>
      </c>
      <c r="C4" s="7">
        <v>14.5</v>
      </c>
      <c r="D4" s="7">
        <v>9.6999999999999993</v>
      </c>
      <c r="E4" s="7">
        <v>-0.2</v>
      </c>
      <c r="F4" s="7">
        <v>1.1000000000000001</v>
      </c>
      <c r="G4" s="7">
        <f xml:space="preserve"> ((1+K4/100) * (1+L4/100) -1) * 100</f>
        <v>3.6288000000000098</v>
      </c>
      <c r="H4" s="7">
        <v>2.5</v>
      </c>
      <c r="I4" s="8">
        <v>1.6</v>
      </c>
      <c r="J4">
        <v>1.4</v>
      </c>
      <c r="K4">
        <v>2.4</v>
      </c>
      <c r="L4">
        <v>1.2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E9A3D-ED71-3149-AB87-38387914A970}">
  <dimension ref="A1:L4"/>
  <sheetViews>
    <sheetView workbookViewId="0">
      <selection activeCell="G3" sqref="G3"/>
    </sheetView>
  </sheetViews>
  <sheetFormatPr baseColWidth="10" defaultRowHeight="16" x14ac:dyDescent="0.2"/>
  <sheetData>
    <row r="1" spans="1:12" ht="17" thickBot="1" x14ac:dyDescent="0.25">
      <c r="A1" s="9" t="s">
        <v>0</v>
      </c>
      <c r="B1" s="12" t="s">
        <v>7</v>
      </c>
      <c r="C1" s="10" t="s">
        <v>1</v>
      </c>
      <c r="D1" s="10" t="s">
        <v>2</v>
      </c>
      <c r="E1" s="10" t="s">
        <v>3</v>
      </c>
      <c r="F1" s="10" t="s">
        <v>4</v>
      </c>
      <c r="G1" s="13" t="s">
        <v>5</v>
      </c>
      <c r="H1" s="12" t="s">
        <v>6</v>
      </c>
      <c r="I1" s="11" t="s">
        <v>23</v>
      </c>
      <c r="J1" t="s">
        <v>8</v>
      </c>
      <c r="K1" t="s">
        <v>10</v>
      </c>
      <c r="L1" t="s">
        <v>9</v>
      </c>
    </row>
    <row r="2" spans="1:12" x14ac:dyDescent="0.2">
      <c r="A2" s="1">
        <v>2017</v>
      </c>
      <c r="B2" s="2">
        <f xml:space="preserve"> ((1+J2/100) * (1+Prev_d_2016!L2/100) -1) * 100</f>
        <v>2.211199999999991</v>
      </c>
      <c r="C2">
        <v>14.8</v>
      </c>
      <c r="D2">
        <v>9.6999999999999993</v>
      </c>
      <c r="E2" s="2">
        <v>-0.3</v>
      </c>
      <c r="F2" s="2">
        <v>0.9</v>
      </c>
      <c r="G2">
        <f xml:space="preserve"> ((1+K2/100) * (1+L2/100) -1) * 100</f>
        <v>3.5233999999999988</v>
      </c>
      <c r="H2" s="2">
        <v>2.1</v>
      </c>
      <c r="I2" s="14">
        <v>1.5</v>
      </c>
      <c r="J2">
        <v>1.4</v>
      </c>
      <c r="K2">
        <v>2.6</v>
      </c>
      <c r="L2">
        <v>0.9</v>
      </c>
    </row>
    <row r="3" spans="1:12" x14ac:dyDescent="0.2">
      <c r="A3" s="4">
        <v>2018</v>
      </c>
      <c r="B3">
        <f xml:space="preserve"> ((1+J3/100) * (1+Prev_d_2016!L3/100) -1) * 100</f>
        <v>2.5143999999999833</v>
      </c>
      <c r="C3">
        <v>14.7</v>
      </c>
      <c r="D3">
        <v>9.6</v>
      </c>
      <c r="E3">
        <v>-0.2</v>
      </c>
      <c r="F3">
        <v>1.2</v>
      </c>
      <c r="G3">
        <f t="shared" ref="G3:G4" si="0" xml:space="preserve"> ((1+K3/100) * (1+L3/100) -1) * 100</f>
        <v>3.6274999999999835</v>
      </c>
      <c r="H3">
        <v>2.6</v>
      </c>
      <c r="I3" s="5">
        <v>1.6</v>
      </c>
      <c r="J3">
        <v>1.6</v>
      </c>
      <c r="K3">
        <v>2.5</v>
      </c>
      <c r="L3">
        <v>1.1000000000000001</v>
      </c>
    </row>
    <row r="4" spans="1:12" ht="17" thickBot="1" x14ac:dyDescent="0.25">
      <c r="A4" s="6">
        <v>2019</v>
      </c>
      <c r="B4" s="7">
        <f xml:space="preserve"> ((1+J4/100) * (1+Prev_d_2016!L4/100) -1) * 100</f>
        <v>2.8191999999999995</v>
      </c>
      <c r="C4" s="7">
        <v>14.5</v>
      </c>
      <c r="D4" s="7">
        <v>9.3000000000000007</v>
      </c>
      <c r="E4" s="7">
        <v>0</v>
      </c>
      <c r="F4" s="7">
        <v>1.5</v>
      </c>
      <c r="G4" s="7">
        <f t="shared" si="0"/>
        <v>3.9337999999999873</v>
      </c>
      <c r="H4" s="7">
        <v>2.9</v>
      </c>
      <c r="I4" s="8">
        <v>1.7</v>
      </c>
      <c r="J4">
        <v>1.6</v>
      </c>
      <c r="K4">
        <v>2.6</v>
      </c>
      <c r="L4">
        <v>1.3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6DB0C-3CCF-6C4C-93D9-39383C2051AB}">
  <dimension ref="A1:L27"/>
  <sheetViews>
    <sheetView workbookViewId="0">
      <selection activeCell="I13" sqref="I13:N22"/>
    </sheetView>
  </sheetViews>
  <sheetFormatPr baseColWidth="10" defaultRowHeight="16" x14ac:dyDescent="0.2"/>
  <sheetData>
    <row r="1" spans="1:12" ht="17" thickBot="1" x14ac:dyDescent="0.25">
      <c r="A1" s="9" t="s">
        <v>0</v>
      </c>
      <c r="B1" s="12" t="s">
        <v>7</v>
      </c>
      <c r="C1" s="10" t="s">
        <v>1</v>
      </c>
      <c r="D1" s="10" t="s">
        <v>2</v>
      </c>
      <c r="E1" s="10" t="s">
        <v>3</v>
      </c>
      <c r="F1" s="10" t="s">
        <v>4</v>
      </c>
      <c r="G1" s="12" t="s">
        <v>5</v>
      </c>
      <c r="H1" s="12" t="s">
        <v>6</v>
      </c>
      <c r="I1" s="11" t="s">
        <v>25</v>
      </c>
      <c r="J1" t="s">
        <v>8</v>
      </c>
      <c r="K1" t="s">
        <v>10</v>
      </c>
      <c r="L1" t="s">
        <v>9</v>
      </c>
    </row>
    <row r="2" spans="1:12" x14ac:dyDescent="0.2">
      <c r="A2" s="4">
        <v>2017</v>
      </c>
      <c r="B2">
        <f xml:space="preserve"> ((1+J2/100) * (1+Prev_d_2016!L2/100) -1) * 100</f>
        <v>2.6143999999999945</v>
      </c>
      <c r="C2">
        <v>14.8</v>
      </c>
      <c r="D2">
        <v>9.6</v>
      </c>
      <c r="E2">
        <v>-0.3</v>
      </c>
      <c r="F2">
        <v>0.8</v>
      </c>
      <c r="G2">
        <f xml:space="preserve"> ((1+K2/100) * (1+L2/100) -1) * 100</f>
        <v>4.7245999999999899</v>
      </c>
      <c r="H2">
        <v>2.5</v>
      </c>
      <c r="I2" s="5">
        <v>2</v>
      </c>
      <c r="J2">
        <v>1.8</v>
      </c>
      <c r="K2">
        <v>4.0999999999999996</v>
      </c>
      <c r="L2">
        <v>0.6</v>
      </c>
    </row>
    <row r="3" spans="1:12" x14ac:dyDescent="0.2">
      <c r="A3" s="4">
        <v>2018</v>
      </c>
      <c r="B3">
        <f xml:space="preserve"> ((1+J3/100) * (1+Prev_d_2016!L3/100) -1) * 100</f>
        <v>2.6152999999999871</v>
      </c>
      <c r="C3">
        <v>14.7</v>
      </c>
      <c r="D3">
        <v>9.6</v>
      </c>
      <c r="E3">
        <v>-0.3</v>
      </c>
      <c r="F3">
        <v>0.7</v>
      </c>
      <c r="G3">
        <f t="shared" ref="G3:G4" si="0" xml:space="preserve"> ((1+K3/100) * (1+L3/100) -1) * 100</f>
        <v>3.9269999999999916</v>
      </c>
      <c r="H3">
        <v>2.9</v>
      </c>
      <c r="I3" s="5">
        <v>1.6</v>
      </c>
      <c r="J3">
        <v>1.7</v>
      </c>
      <c r="K3">
        <v>3</v>
      </c>
      <c r="L3">
        <v>0.9</v>
      </c>
    </row>
    <row r="4" spans="1:12" ht="17" thickBot="1" x14ac:dyDescent="0.25">
      <c r="A4" s="6">
        <v>2019</v>
      </c>
      <c r="B4" s="7">
        <f xml:space="preserve"> ((1+J4/100) * (1+Prev_d_2016!L4/100) -1) * 100</f>
        <v>3.0216000000000021</v>
      </c>
      <c r="C4" s="7">
        <v>14.5</v>
      </c>
      <c r="D4" s="7">
        <v>9.1999999999999993</v>
      </c>
      <c r="E4" s="7">
        <v>-0.1</v>
      </c>
      <c r="F4" s="7">
        <v>1</v>
      </c>
      <c r="G4" s="7">
        <f t="shared" si="0"/>
        <v>4.1363999999999956</v>
      </c>
      <c r="H4" s="7">
        <v>3.5</v>
      </c>
      <c r="I4" s="8">
        <v>1.7</v>
      </c>
      <c r="J4">
        <v>1.8</v>
      </c>
      <c r="K4">
        <v>2.8</v>
      </c>
      <c r="L4">
        <v>1.3</v>
      </c>
    </row>
    <row r="27" spans="8:8" x14ac:dyDescent="0.2">
      <c r="H27">
        <f xml:space="preserve"> 1.017 *1.003 -1</f>
        <v>2.0050999999999819E-2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5582F-B099-0943-9F48-3FB0929EF9AB}">
  <dimension ref="A1:L8"/>
  <sheetViews>
    <sheetView workbookViewId="0">
      <selection activeCell="G3" sqref="G3"/>
    </sheetView>
  </sheetViews>
  <sheetFormatPr baseColWidth="10" defaultRowHeight="16" x14ac:dyDescent="0.2"/>
  <sheetData>
    <row r="1" spans="1:12" ht="17" thickBot="1" x14ac:dyDescent="0.25">
      <c r="A1" s="9" t="s">
        <v>0</v>
      </c>
      <c r="B1" s="12" t="s">
        <v>7</v>
      </c>
      <c r="C1" s="10" t="s">
        <v>1</v>
      </c>
      <c r="D1" s="10" t="s">
        <v>2</v>
      </c>
      <c r="E1" s="10" t="s">
        <v>3</v>
      </c>
      <c r="F1" s="10" t="s">
        <v>4</v>
      </c>
      <c r="G1" s="12" t="s">
        <v>5</v>
      </c>
      <c r="H1" s="12" t="s">
        <v>6</v>
      </c>
      <c r="I1" s="11" t="s">
        <v>25</v>
      </c>
      <c r="J1" t="s">
        <v>8</v>
      </c>
      <c r="K1" t="s">
        <v>10</v>
      </c>
      <c r="L1" t="s">
        <v>9</v>
      </c>
    </row>
    <row r="2" spans="1:12" x14ac:dyDescent="0.2">
      <c r="A2" s="4">
        <v>2018</v>
      </c>
      <c r="B2">
        <f xml:space="preserve"> ((1+J2/100) * (1+Prev_d_2016!L2/100) -1) * 100</f>
        <v>2.6143999999999945</v>
      </c>
      <c r="C2" t="s">
        <v>27</v>
      </c>
      <c r="D2">
        <v>9.1</v>
      </c>
      <c r="E2">
        <v>-0.3</v>
      </c>
      <c r="F2">
        <v>0.9</v>
      </c>
      <c r="G2">
        <f xml:space="preserve"> ((1+K2/100) * (1+L2/100) -1) * 100</f>
        <v>4.532399999999992</v>
      </c>
      <c r="H2" t="s">
        <v>27</v>
      </c>
      <c r="I2" s="5" t="s">
        <v>27</v>
      </c>
      <c r="J2">
        <v>1.8</v>
      </c>
      <c r="K2">
        <v>3.6</v>
      </c>
      <c r="L2">
        <v>0.9</v>
      </c>
    </row>
    <row r="3" spans="1:12" x14ac:dyDescent="0.2">
      <c r="A3" s="4">
        <v>2019</v>
      </c>
      <c r="B3">
        <f xml:space="preserve"> ((1+J3/100) * (1+Prev_d_2016!L3/100) -1) * 100</f>
        <v>2.6152999999999871</v>
      </c>
      <c r="C3" t="s">
        <v>27</v>
      </c>
      <c r="D3">
        <v>8.8000000000000007</v>
      </c>
      <c r="E3">
        <v>-0.2</v>
      </c>
      <c r="F3">
        <v>1.1000000000000001</v>
      </c>
      <c r="G3">
        <f t="shared" ref="G3:G4" si="0" xml:space="preserve"> ((1+K3/100) * (1+L3/100) -1) * 100</f>
        <v>4.3405999999999834</v>
      </c>
      <c r="H3" t="s">
        <v>27</v>
      </c>
      <c r="I3" s="5" t="s">
        <v>27</v>
      </c>
      <c r="J3">
        <v>1.7</v>
      </c>
      <c r="K3">
        <v>2.9</v>
      </c>
      <c r="L3">
        <v>1.4</v>
      </c>
    </row>
    <row r="4" spans="1:12" ht="17" thickBot="1" x14ac:dyDescent="0.25">
      <c r="A4" s="6">
        <v>2020</v>
      </c>
      <c r="B4" s="7">
        <f xml:space="preserve"> ((1+J4/100) * (1+Prev_d_2016!L4/100) -1) * 100</f>
        <v>2.8191999999999995</v>
      </c>
      <c r="C4" s="7" t="s">
        <v>27</v>
      </c>
      <c r="D4" s="7">
        <v>8.3000000000000007</v>
      </c>
      <c r="E4" s="7">
        <v>0.2</v>
      </c>
      <c r="F4" s="7">
        <v>1.3</v>
      </c>
      <c r="G4" s="7">
        <f t="shared" si="0"/>
        <v>4.1399999999999881</v>
      </c>
      <c r="H4" s="7" t="s">
        <v>27</v>
      </c>
      <c r="I4" s="8" t="s">
        <v>27</v>
      </c>
      <c r="J4">
        <v>1.6</v>
      </c>
      <c r="K4">
        <v>2.5</v>
      </c>
      <c r="L4">
        <v>1.6</v>
      </c>
    </row>
    <row r="8" spans="1:12" x14ac:dyDescent="0.2">
      <c r="A8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366A8-13A5-B244-A6F9-333E9BAE7BED}">
  <dimension ref="A1:L4"/>
  <sheetViews>
    <sheetView workbookViewId="0">
      <selection activeCell="G3" sqref="G3"/>
    </sheetView>
  </sheetViews>
  <sheetFormatPr baseColWidth="10" defaultRowHeight="16" x14ac:dyDescent="0.2"/>
  <sheetData>
    <row r="1" spans="1:12" ht="17" thickBot="1" x14ac:dyDescent="0.25">
      <c r="A1" s="9" t="s">
        <v>0</v>
      </c>
      <c r="B1" s="12" t="s">
        <v>7</v>
      </c>
      <c r="C1" s="10" t="s">
        <v>1</v>
      </c>
      <c r="D1" s="10" t="s">
        <v>2</v>
      </c>
      <c r="E1" s="10" t="s">
        <v>3</v>
      </c>
      <c r="F1" s="10" t="s">
        <v>4</v>
      </c>
      <c r="G1" s="12" t="s">
        <v>5</v>
      </c>
      <c r="H1" s="12" t="s">
        <v>6</v>
      </c>
      <c r="I1" s="11" t="s">
        <v>25</v>
      </c>
      <c r="J1" t="s">
        <v>8</v>
      </c>
      <c r="K1" t="s">
        <v>10</v>
      </c>
      <c r="L1" t="s">
        <v>9</v>
      </c>
    </row>
    <row r="2" spans="1:12" x14ac:dyDescent="0.2">
      <c r="A2" s="4">
        <v>2018</v>
      </c>
      <c r="B2">
        <f xml:space="preserve"> ((1+J2/100) * (1+Prev_d_2016!L2/100) -1) * 100</f>
        <v>2.3119999999999807</v>
      </c>
      <c r="C2">
        <v>14.6</v>
      </c>
      <c r="D2">
        <v>9.1</v>
      </c>
      <c r="E2">
        <v>-0.3</v>
      </c>
      <c r="F2">
        <v>0.8</v>
      </c>
      <c r="G2">
        <f xml:space="preserve"> ((1+K2/100) * (1+L2/100) -1) * 100</f>
        <v>4.9389999999999823</v>
      </c>
      <c r="H2">
        <v>3.1</v>
      </c>
      <c r="I2" s="5">
        <v>1.9</v>
      </c>
      <c r="J2">
        <v>1.5</v>
      </c>
      <c r="K2">
        <v>3.9</v>
      </c>
      <c r="L2">
        <v>1</v>
      </c>
    </row>
    <row r="3" spans="1:12" x14ac:dyDescent="0.2">
      <c r="A3" s="4">
        <v>2019</v>
      </c>
      <c r="B3">
        <f xml:space="preserve"> ((1+J3/100) * (1+Prev_d_2016!L3/100) -1) * 100</f>
        <v>2.4134999999999796</v>
      </c>
      <c r="C3">
        <v>14.9</v>
      </c>
      <c r="D3">
        <v>8.9</v>
      </c>
      <c r="E3">
        <v>-0.3</v>
      </c>
      <c r="F3">
        <v>0.9</v>
      </c>
      <c r="G3">
        <f xml:space="preserve"> ((1+K3/100) * (1+L3/100) -1) * 100</f>
        <v>5.6558999999999804</v>
      </c>
      <c r="H3">
        <v>3.2</v>
      </c>
      <c r="I3" s="5">
        <v>2.2999999999999998</v>
      </c>
      <c r="J3">
        <v>1.5</v>
      </c>
      <c r="K3">
        <v>4.3</v>
      </c>
      <c r="L3">
        <v>1.3</v>
      </c>
    </row>
    <row r="4" spans="1:12" ht="17" thickBot="1" x14ac:dyDescent="0.25">
      <c r="A4" s="6">
        <v>2020</v>
      </c>
      <c r="B4" s="7">
        <f xml:space="preserve"> ((1+J4/100) * (1+Prev_d_2016!L4/100) -1) * 100</f>
        <v>2.8191999999999995</v>
      </c>
      <c r="C4" s="7">
        <v>14.9</v>
      </c>
      <c r="D4" s="7">
        <v>8.5</v>
      </c>
      <c r="E4" s="7">
        <v>0</v>
      </c>
      <c r="F4" s="7">
        <v>1.2</v>
      </c>
      <c r="G4" s="7">
        <f xml:space="preserve"> ((1+K4/100) * (1+L4/100) -1) * 100</f>
        <v>4.443499999999978</v>
      </c>
      <c r="H4" s="7">
        <v>2.9</v>
      </c>
      <c r="I4" s="8">
        <v>2.4</v>
      </c>
      <c r="J4">
        <v>1.6</v>
      </c>
      <c r="K4">
        <v>2.9</v>
      </c>
      <c r="L4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50B9F-123E-044D-AB77-2DE9F60851EB}">
  <dimension ref="A1:L4"/>
  <sheetViews>
    <sheetView workbookViewId="0">
      <selection activeCell="G3" sqref="G3"/>
    </sheetView>
  </sheetViews>
  <sheetFormatPr baseColWidth="10" defaultRowHeight="16" x14ac:dyDescent="0.2"/>
  <sheetData>
    <row r="1" spans="1:12" ht="17" thickBot="1" x14ac:dyDescent="0.25">
      <c r="A1" s="1" t="s">
        <v>0</v>
      </c>
      <c r="B1" s="13" t="s">
        <v>7</v>
      </c>
      <c r="C1" s="2" t="s">
        <v>1</v>
      </c>
      <c r="D1" s="2" t="s">
        <v>2</v>
      </c>
      <c r="E1" s="2" t="s">
        <v>3</v>
      </c>
      <c r="F1" s="2" t="s">
        <v>4</v>
      </c>
      <c r="G1" s="13" t="s">
        <v>5</v>
      </c>
      <c r="H1" s="13" t="s">
        <v>6</v>
      </c>
      <c r="I1" s="3" t="s">
        <v>25</v>
      </c>
      <c r="J1" t="s">
        <v>8</v>
      </c>
      <c r="K1" t="s">
        <v>10</v>
      </c>
      <c r="L1" t="s">
        <v>9</v>
      </c>
    </row>
    <row r="2" spans="1:12" x14ac:dyDescent="0.2">
      <c r="A2" s="1">
        <v>2019</v>
      </c>
      <c r="B2" s="2">
        <f xml:space="preserve"> ((1+J2/100) * (1+Prev_d_2016!L2/100) -1) * 100</f>
        <v>2.1104000000000012</v>
      </c>
      <c r="C2" s="2">
        <v>15.3</v>
      </c>
      <c r="D2" s="2">
        <v>8.6</v>
      </c>
      <c r="E2" s="2">
        <v>-0.3</v>
      </c>
      <c r="F2" s="2">
        <v>0.4</v>
      </c>
      <c r="G2" s="2">
        <f xml:space="preserve"> ((1+K2/100) * (1+L2/100) -1) * 100</f>
        <v>4.0350999999999804</v>
      </c>
      <c r="H2" s="2" t="s">
        <v>27</v>
      </c>
      <c r="I2" s="14">
        <v>2.4</v>
      </c>
      <c r="J2">
        <v>1.3</v>
      </c>
      <c r="K2">
        <v>2.7</v>
      </c>
      <c r="L2">
        <v>1.3</v>
      </c>
    </row>
    <row r="3" spans="1:12" x14ac:dyDescent="0.2">
      <c r="A3" s="4">
        <v>2020</v>
      </c>
      <c r="B3">
        <f xml:space="preserve"> ((1+J3/100) * (1+Prev_d_2016!L3/100) -1) * 100</f>
        <v>2.312599999999998</v>
      </c>
      <c r="C3">
        <v>15.2</v>
      </c>
      <c r="D3">
        <v>8.3000000000000007</v>
      </c>
      <c r="E3">
        <v>-0.3</v>
      </c>
      <c r="F3">
        <v>0.5</v>
      </c>
      <c r="G3">
        <f t="shared" ref="G3:G4" si="0" xml:space="preserve"> ((1+K3/100) * (1+L3/100) -1) * 100</f>
        <v>3.6288000000000098</v>
      </c>
      <c r="H3" t="s">
        <v>27</v>
      </c>
      <c r="I3" s="5">
        <v>2.2999999999999998</v>
      </c>
      <c r="J3">
        <v>1.4</v>
      </c>
      <c r="K3">
        <v>2.4</v>
      </c>
      <c r="L3">
        <v>1.2</v>
      </c>
    </row>
    <row r="4" spans="1:12" ht="17" thickBot="1" x14ac:dyDescent="0.25">
      <c r="A4" s="6">
        <v>2021</v>
      </c>
      <c r="B4" s="7">
        <f xml:space="preserve"> ((1+J4/100) * (1+Prev_d_2016!L4/100) -1) * 100</f>
        <v>2.6167999999999969</v>
      </c>
      <c r="C4" s="7">
        <v>15.1</v>
      </c>
      <c r="D4" s="7">
        <v>8.1</v>
      </c>
      <c r="E4" s="7">
        <v>-0.2</v>
      </c>
      <c r="F4" s="7">
        <v>0.7</v>
      </c>
      <c r="G4" s="7">
        <f t="shared" si="0"/>
        <v>3.3251999999999837</v>
      </c>
      <c r="H4" s="7" t="s">
        <v>27</v>
      </c>
      <c r="I4" s="8">
        <v>2.6</v>
      </c>
      <c r="J4">
        <v>1.4</v>
      </c>
      <c r="K4">
        <v>2.1</v>
      </c>
      <c r="L4">
        <v>1.2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FA676-649C-2B4E-AA29-882286A1BE6C}">
  <dimension ref="A1:L4"/>
  <sheetViews>
    <sheetView workbookViewId="0">
      <selection activeCell="G3" sqref="G3"/>
    </sheetView>
  </sheetViews>
  <sheetFormatPr baseColWidth="10" defaultRowHeight="16" x14ac:dyDescent="0.2"/>
  <sheetData>
    <row r="1" spans="1:12" ht="17" thickBot="1" x14ac:dyDescent="0.25">
      <c r="A1" s="1" t="s">
        <v>0</v>
      </c>
      <c r="B1" s="13" t="s">
        <v>7</v>
      </c>
      <c r="C1" s="2" t="s">
        <v>1</v>
      </c>
      <c r="D1" s="2" t="s">
        <v>2</v>
      </c>
      <c r="E1" s="2" t="s">
        <v>3</v>
      </c>
      <c r="F1" s="2" t="s">
        <v>4</v>
      </c>
      <c r="G1" s="13" t="s">
        <v>5</v>
      </c>
      <c r="H1" s="13" t="s">
        <v>6</v>
      </c>
      <c r="I1" s="3" t="s">
        <v>25</v>
      </c>
      <c r="J1" t="s">
        <v>8</v>
      </c>
      <c r="K1" t="s">
        <v>10</v>
      </c>
      <c r="L1" t="s">
        <v>9</v>
      </c>
    </row>
    <row r="2" spans="1:12" x14ac:dyDescent="0.2">
      <c r="A2" s="1">
        <v>2019</v>
      </c>
      <c r="B2" s="2">
        <f xml:space="preserve"> ((1+J2/100) * (1+Prev_d_2016!L2/100) -1) * 100</f>
        <v>2.1104000000000012</v>
      </c>
      <c r="C2" s="2">
        <v>14.9</v>
      </c>
      <c r="D2" s="2">
        <v>8.5</v>
      </c>
      <c r="E2" s="2">
        <v>-0.4</v>
      </c>
      <c r="F2" s="2">
        <v>0.1</v>
      </c>
      <c r="G2" s="2">
        <f xml:space="preserve"> ((1+K2/100) * (1+L2/100) -1) * 100</f>
        <v>5.4584999999999884</v>
      </c>
      <c r="H2" s="2" t="s">
        <v>27</v>
      </c>
      <c r="I2" s="14">
        <v>1.9</v>
      </c>
      <c r="J2">
        <v>1.3</v>
      </c>
      <c r="K2">
        <v>3.9</v>
      </c>
      <c r="L2">
        <v>1.5</v>
      </c>
    </row>
    <row r="3" spans="1:12" x14ac:dyDescent="0.2">
      <c r="A3" s="4">
        <v>2020</v>
      </c>
      <c r="B3">
        <f xml:space="preserve"> ((1+J3/100) * (1+Prev_d_2016!L3/100) -1) * 100</f>
        <v>2.0098999999999867</v>
      </c>
      <c r="C3">
        <v>15</v>
      </c>
      <c r="D3">
        <v>8.1999999999999993</v>
      </c>
      <c r="E3">
        <v>-0.4</v>
      </c>
      <c r="F3">
        <v>0.1</v>
      </c>
      <c r="G3">
        <f t="shared" ref="G3:G4" si="0" xml:space="preserve"> ((1+K3/100) * (1+L3/100) -1) * 100</f>
        <v>3.924799999999995</v>
      </c>
      <c r="H3" t="s">
        <v>27</v>
      </c>
      <c r="I3" s="5">
        <v>1.8</v>
      </c>
      <c r="J3">
        <v>1.1000000000000001</v>
      </c>
      <c r="K3">
        <v>3.1</v>
      </c>
      <c r="L3">
        <v>0.8</v>
      </c>
    </row>
    <row r="4" spans="1:12" ht="17" thickBot="1" x14ac:dyDescent="0.25">
      <c r="A4" s="6">
        <v>2021</v>
      </c>
      <c r="B4" s="7">
        <f xml:space="preserve"> ((1+J4/100) * (1+Prev_d_2016!L4/100) -1) * 100</f>
        <v>2.5155999999999956</v>
      </c>
      <c r="C4" s="7">
        <v>14.8</v>
      </c>
      <c r="D4" s="7">
        <v>8.1</v>
      </c>
      <c r="E4" s="7">
        <v>-0.4</v>
      </c>
      <c r="F4" s="7">
        <v>0.2</v>
      </c>
      <c r="G4" s="7">
        <f t="shared" si="0"/>
        <v>3.0188999999999799</v>
      </c>
      <c r="H4" s="7" t="s">
        <v>27</v>
      </c>
      <c r="I4" s="8">
        <v>2.2000000000000002</v>
      </c>
      <c r="J4">
        <v>1.3</v>
      </c>
      <c r="K4">
        <v>2.1</v>
      </c>
      <c r="L4">
        <v>0.9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EA961-616A-F344-8AA7-F4FB851217A0}">
  <dimension ref="A1:L4"/>
  <sheetViews>
    <sheetView workbookViewId="0">
      <selection activeCell="G3" sqref="G3"/>
    </sheetView>
  </sheetViews>
  <sheetFormatPr baseColWidth="10" defaultRowHeight="16" x14ac:dyDescent="0.2"/>
  <sheetData>
    <row r="1" spans="1:12" ht="17" thickBot="1" x14ac:dyDescent="0.25">
      <c r="A1" s="1" t="s">
        <v>0</v>
      </c>
      <c r="B1" s="13" t="s">
        <v>7</v>
      </c>
      <c r="C1" s="2" t="s">
        <v>1</v>
      </c>
      <c r="D1" s="2" t="s">
        <v>2</v>
      </c>
      <c r="E1" s="2" t="s">
        <v>3</v>
      </c>
      <c r="F1" s="2" t="s">
        <v>4</v>
      </c>
      <c r="G1" s="13" t="s">
        <v>5</v>
      </c>
      <c r="H1" s="13" t="s">
        <v>6</v>
      </c>
      <c r="I1" s="3" t="s">
        <v>25</v>
      </c>
      <c r="J1" t="s">
        <v>8</v>
      </c>
      <c r="K1" t="s">
        <v>10</v>
      </c>
      <c r="L1" t="s">
        <v>9</v>
      </c>
    </row>
    <row r="2" spans="1:12" x14ac:dyDescent="0.2">
      <c r="A2" s="1">
        <v>2020</v>
      </c>
      <c r="B2" s="2">
        <f xml:space="preserve"> ((1+J2/100) * (1+Prev_d_2016!L2/100) -1) * 100</f>
        <v>-9.5824000000000016</v>
      </c>
      <c r="C2" s="2">
        <v>22.3</v>
      </c>
      <c r="D2" s="2">
        <v>10.1</v>
      </c>
      <c r="E2" s="2">
        <v>-0.4</v>
      </c>
      <c r="F2" s="2">
        <v>0</v>
      </c>
      <c r="G2" s="2">
        <f xml:space="preserve"> ((1+K2/100) * (1+L2/100) -1) * 100</f>
        <v>-22.456300000000006</v>
      </c>
      <c r="H2" s="2" t="s">
        <v>27</v>
      </c>
      <c r="I2" s="14">
        <v>-2.7</v>
      </c>
      <c r="J2">
        <v>-10.3</v>
      </c>
      <c r="K2">
        <v>-23.3</v>
      </c>
      <c r="L2">
        <v>1.1000000000000001</v>
      </c>
    </row>
    <row r="3" spans="1:12" x14ac:dyDescent="0.2">
      <c r="A3" s="4">
        <v>2021</v>
      </c>
      <c r="B3">
        <f xml:space="preserve"> ((1+J3/100) * (1+Prev_d_2016!L3/100) -1) * 100</f>
        <v>7.862099999999983</v>
      </c>
      <c r="C3">
        <v>16.600000000000001</v>
      </c>
      <c r="D3">
        <v>11.7</v>
      </c>
      <c r="E3">
        <v>-0.4</v>
      </c>
      <c r="F3">
        <v>0.2</v>
      </c>
      <c r="G3">
        <f t="shared" ref="G3:G4" si="0" xml:space="preserve"> ((1+K3/100) * (1+L3/100) -1) * 100</f>
        <v>17.282599999999992</v>
      </c>
      <c r="H3" t="s">
        <v>27</v>
      </c>
      <c r="I3" s="5">
        <v>3</v>
      </c>
      <c r="J3">
        <v>6.9</v>
      </c>
      <c r="K3">
        <v>17.399999999999999</v>
      </c>
      <c r="L3">
        <v>-0.1</v>
      </c>
    </row>
    <row r="4" spans="1:12" ht="17" thickBot="1" x14ac:dyDescent="0.25">
      <c r="A4" s="6">
        <v>2022</v>
      </c>
      <c r="B4" s="7">
        <f xml:space="preserve"> ((1+J4/100) * (1+Prev_d_2016!L4/100) -1) * 100</f>
        <v>5.1467999999999847</v>
      </c>
      <c r="C4" s="7">
        <v>14.8</v>
      </c>
      <c r="D4" s="7">
        <v>10.4</v>
      </c>
      <c r="E4" s="7">
        <v>-0.4</v>
      </c>
      <c r="F4" s="7">
        <v>0.3</v>
      </c>
      <c r="G4" s="7">
        <f t="shared" si="0"/>
        <v>9.034399999999998</v>
      </c>
      <c r="H4" s="7" t="s">
        <v>27</v>
      </c>
      <c r="I4" s="8">
        <v>0.5</v>
      </c>
      <c r="J4">
        <v>3.9</v>
      </c>
      <c r="K4">
        <v>8.6</v>
      </c>
      <c r="L4">
        <v>0.4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5AF9D-14AD-8C4C-8B6D-D3AE85CDE745}">
  <dimension ref="A1:L4"/>
  <sheetViews>
    <sheetView workbookViewId="0">
      <selection activeCell="G3" sqref="G3"/>
    </sheetView>
  </sheetViews>
  <sheetFormatPr baseColWidth="10" defaultRowHeight="16" x14ac:dyDescent="0.2"/>
  <sheetData>
    <row r="1" spans="1:12" ht="17" thickBot="1" x14ac:dyDescent="0.25">
      <c r="A1" s="1" t="s">
        <v>0</v>
      </c>
      <c r="B1" s="13" t="s">
        <v>7</v>
      </c>
      <c r="C1" s="2" t="s">
        <v>1</v>
      </c>
      <c r="D1" s="2" t="s">
        <v>2</v>
      </c>
      <c r="E1" s="2" t="s">
        <v>3</v>
      </c>
      <c r="F1" s="2" t="s">
        <v>4</v>
      </c>
      <c r="G1" s="13" t="s">
        <v>5</v>
      </c>
      <c r="H1" s="13" t="s">
        <v>6</v>
      </c>
      <c r="I1" s="3" t="s">
        <v>25</v>
      </c>
      <c r="J1" t="s">
        <v>8</v>
      </c>
      <c r="K1" t="s">
        <v>10</v>
      </c>
      <c r="L1" t="s">
        <v>9</v>
      </c>
    </row>
    <row r="2" spans="1:12" x14ac:dyDescent="0.2">
      <c r="A2" s="1">
        <v>2020</v>
      </c>
      <c r="B2" s="2">
        <f xml:space="preserve"> ((1+J2/100) * (1+Prev_d_2016!L2/100) -1) * 100</f>
        <v>-8.5743999999999936</v>
      </c>
      <c r="C2" s="2">
        <v>22.2</v>
      </c>
      <c r="D2" s="2">
        <v>8.5</v>
      </c>
      <c r="E2" s="2">
        <v>-0.4</v>
      </c>
      <c r="F2" s="2">
        <v>-0.1</v>
      </c>
      <c r="G2" s="2">
        <f xml:space="preserve"> ((1+K2/100) * (1+L2/100) -1) * 100</f>
        <v>-7.894000000000001</v>
      </c>
      <c r="H2" s="2" t="s">
        <v>27</v>
      </c>
      <c r="I2" s="14">
        <v>-6.4</v>
      </c>
      <c r="J2">
        <v>-9.3000000000000007</v>
      </c>
      <c r="K2">
        <v>-9.6999999999999993</v>
      </c>
      <c r="L2">
        <v>2</v>
      </c>
    </row>
    <row r="3" spans="1:12" x14ac:dyDescent="0.2">
      <c r="A3" s="4">
        <v>2021</v>
      </c>
      <c r="B3">
        <f xml:space="preserve"> ((1+J3/100) * (1+Prev_d_2016!L3/100) -1) * 100</f>
        <v>5.7431999999999928</v>
      </c>
      <c r="C3">
        <v>19.5</v>
      </c>
      <c r="D3">
        <v>10.7</v>
      </c>
      <c r="E3">
        <v>-0.5</v>
      </c>
      <c r="F3">
        <v>-0.3</v>
      </c>
      <c r="G3">
        <f t="shared" ref="G3:G4" si="0" xml:space="preserve"> ((1+K3/100) * (1+L3/100) -1) * 100</f>
        <v>5.4274000000000155</v>
      </c>
      <c r="H3" t="s">
        <v>27</v>
      </c>
      <c r="I3" s="5">
        <v>6.3</v>
      </c>
      <c r="J3">
        <v>4.8</v>
      </c>
      <c r="K3">
        <v>6.6</v>
      </c>
      <c r="L3">
        <v>-1.1000000000000001</v>
      </c>
    </row>
    <row r="4" spans="1:12" ht="17" thickBot="1" x14ac:dyDescent="0.25">
      <c r="A4" s="6">
        <v>2022</v>
      </c>
      <c r="B4" s="7">
        <f xml:space="preserve"> ((1+J4/100) * (1+Prev_d_2016!L4/100) -1) * 100</f>
        <v>6.2599999999999989</v>
      </c>
      <c r="C4" s="7">
        <v>14.5</v>
      </c>
      <c r="D4" s="7">
        <v>9.5</v>
      </c>
      <c r="E4" s="7">
        <v>-0.5</v>
      </c>
      <c r="F4" s="7">
        <v>-0.2</v>
      </c>
      <c r="G4" s="7">
        <f t="shared" si="0"/>
        <v>5.3196000000000021</v>
      </c>
      <c r="H4" s="7" t="s">
        <v>27</v>
      </c>
      <c r="I4" s="8">
        <v>2.6</v>
      </c>
      <c r="J4">
        <v>5</v>
      </c>
      <c r="K4">
        <v>4.9000000000000004</v>
      </c>
      <c r="L4">
        <v>0.4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F415A-032D-3348-8451-C04D82DD86F9}">
  <dimension ref="A1:L4"/>
  <sheetViews>
    <sheetView workbookViewId="0">
      <selection activeCell="G3" sqref="G3"/>
    </sheetView>
  </sheetViews>
  <sheetFormatPr baseColWidth="10" defaultRowHeight="16" x14ac:dyDescent="0.2"/>
  <sheetData>
    <row r="1" spans="1:12" ht="17" thickBot="1" x14ac:dyDescent="0.25">
      <c r="A1" s="1" t="s">
        <v>0</v>
      </c>
      <c r="B1" s="13" t="s">
        <v>7</v>
      </c>
      <c r="C1" s="2" t="s">
        <v>1</v>
      </c>
      <c r="D1" s="2" t="s">
        <v>2</v>
      </c>
      <c r="E1" s="2" t="s">
        <v>3</v>
      </c>
      <c r="F1" s="2" t="s">
        <v>4</v>
      </c>
      <c r="G1" s="13" t="s">
        <v>5</v>
      </c>
      <c r="H1" s="13" t="s">
        <v>6</v>
      </c>
      <c r="I1" s="3" t="s">
        <v>25</v>
      </c>
      <c r="J1" t="s">
        <v>8</v>
      </c>
      <c r="K1" t="s">
        <v>10</v>
      </c>
      <c r="L1" t="s">
        <v>9</v>
      </c>
    </row>
    <row r="2" spans="1:12" x14ac:dyDescent="0.2">
      <c r="A2" s="1">
        <v>2021</v>
      </c>
      <c r="B2" s="2">
        <f xml:space="preserve"> ((1+J2/100) * (1+Prev_d_2016!L2/100) -1) * 100</f>
        <v>6.6464000000000079</v>
      </c>
      <c r="C2" s="2">
        <v>19.3</v>
      </c>
      <c r="D2" s="2">
        <v>8.6999999999999993</v>
      </c>
      <c r="E2" s="2">
        <v>-0.5</v>
      </c>
      <c r="F2" s="2">
        <v>0.1</v>
      </c>
      <c r="G2" s="2">
        <f xml:space="preserve"> ((1+K2/100) * (1+L2/100) -1) * 100</f>
        <v>9.0417999999999878</v>
      </c>
      <c r="H2" s="2" t="s">
        <v>27</v>
      </c>
      <c r="I2" s="14">
        <v>4.8</v>
      </c>
      <c r="J2">
        <v>5.8</v>
      </c>
      <c r="K2">
        <v>9.6999999999999993</v>
      </c>
      <c r="L2">
        <v>-0.6</v>
      </c>
    </row>
    <row r="3" spans="1:12" x14ac:dyDescent="0.2">
      <c r="A3" s="4">
        <v>2022</v>
      </c>
      <c r="B3">
        <f xml:space="preserve"> ((1+J3/100) * (1+Prev_d_2016!L3/100) -1) * 100</f>
        <v>5.0368999999999886</v>
      </c>
      <c r="C3">
        <v>14.6</v>
      </c>
      <c r="D3">
        <v>9.1999999999999993</v>
      </c>
      <c r="E3">
        <v>-0.5</v>
      </c>
      <c r="F3">
        <v>0.4</v>
      </c>
      <c r="G3">
        <f t="shared" ref="G3:G4" si="0" xml:space="preserve"> ((1+K3/100) * (1+L3/100) -1) * 100</f>
        <v>4.6408000000000005</v>
      </c>
      <c r="H3" t="s">
        <v>27</v>
      </c>
      <c r="I3" s="5">
        <v>4.2</v>
      </c>
      <c r="J3">
        <v>4.0999999999999996</v>
      </c>
      <c r="K3">
        <v>3.4</v>
      </c>
      <c r="L3">
        <v>1.2</v>
      </c>
    </row>
    <row r="4" spans="1:12" ht="17" thickBot="1" x14ac:dyDescent="0.25">
      <c r="A4" s="6">
        <v>2023</v>
      </c>
      <c r="B4" s="7">
        <f xml:space="preserve"> ((1+J4/100) * (1+Prev_d_2016!L4/100) -1) * 100</f>
        <v>3.3251999999999837</v>
      </c>
      <c r="C4" s="7">
        <v>14.1</v>
      </c>
      <c r="D4" s="7">
        <v>8.9</v>
      </c>
      <c r="E4" s="7">
        <v>-0.3</v>
      </c>
      <c r="F4" s="7">
        <v>0.6</v>
      </c>
      <c r="G4" s="7">
        <f t="shared" si="0"/>
        <v>4.3329999999999869</v>
      </c>
      <c r="H4" s="7" t="s">
        <v>27</v>
      </c>
      <c r="I4" s="8">
        <v>2.7</v>
      </c>
      <c r="J4">
        <v>2.1</v>
      </c>
      <c r="K4">
        <v>3.3</v>
      </c>
      <c r="L4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0587D-2485-2E45-88E4-46ECE836C8DA}">
  <dimension ref="A1:L4"/>
  <sheetViews>
    <sheetView workbookViewId="0">
      <selection activeCell="L5" sqref="A1:L5"/>
    </sheetView>
  </sheetViews>
  <sheetFormatPr baseColWidth="10" defaultRowHeight="16" x14ac:dyDescent="0.2"/>
  <sheetData>
    <row r="1" spans="1:12" ht="17" thickBot="1" x14ac:dyDescent="0.25">
      <c r="A1" s="9" t="s">
        <v>0</v>
      </c>
      <c r="B1" s="12" t="s">
        <v>7</v>
      </c>
      <c r="C1" s="10" t="s">
        <v>1</v>
      </c>
      <c r="D1" s="10" t="s">
        <v>2</v>
      </c>
      <c r="E1" s="10" t="s">
        <v>3</v>
      </c>
      <c r="F1" s="10" t="s">
        <v>4</v>
      </c>
      <c r="G1" s="12" t="s">
        <v>5</v>
      </c>
      <c r="H1" s="12" t="s">
        <v>6</v>
      </c>
      <c r="I1" s="11" t="s">
        <v>25</v>
      </c>
      <c r="J1" t="s">
        <v>8</v>
      </c>
      <c r="K1" t="s">
        <v>10</v>
      </c>
      <c r="L1" t="s">
        <v>9</v>
      </c>
    </row>
    <row r="2" spans="1:12" x14ac:dyDescent="0.2">
      <c r="A2" s="1">
        <v>2021</v>
      </c>
      <c r="B2" s="2">
        <f xml:space="preserve"> ((1+J2/100) * (1+Prev_d_2016!L2/100) -1) * 100</f>
        <v>7.5536000000000048</v>
      </c>
      <c r="C2" s="2">
        <v>19.3</v>
      </c>
      <c r="D2" s="2">
        <v>8</v>
      </c>
      <c r="E2" s="2">
        <v>-0.5</v>
      </c>
      <c r="F2" s="2">
        <v>0</v>
      </c>
      <c r="G2" s="2">
        <f xml:space="preserve"> ((1+K2/100) * (1+L2/100) -1) * 100</f>
        <v>12.593600000000006</v>
      </c>
      <c r="H2" s="2" t="s">
        <v>27</v>
      </c>
      <c r="I2" s="14">
        <v>6.4</v>
      </c>
      <c r="J2">
        <v>6.7</v>
      </c>
      <c r="K2">
        <v>11.7</v>
      </c>
      <c r="L2">
        <v>0.8</v>
      </c>
    </row>
    <row r="3" spans="1:12" x14ac:dyDescent="0.2">
      <c r="A3" s="4">
        <v>2022</v>
      </c>
      <c r="B3">
        <f xml:space="preserve"> ((1+J3/100) * (1+Prev_d_2016!L3/100) -1) * 100</f>
        <v>4.532399999999992</v>
      </c>
      <c r="C3">
        <v>15.1</v>
      </c>
      <c r="D3">
        <v>7.9</v>
      </c>
      <c r="E3">
        <v>-0.5</v>
      </c>
      <c r="F3">
        <v>0.1</v>
      </c>
      <c r="G3">
        <f t="shared" ref="G3:G4" si="0" xml:space="preserve"> ((1+K3/100) * (1+L3/100) -1) * 100</f>
        <v>2.9119999999999813</v>
      </c>
      <c r="H3" t="s">
        <v>27</v>
      </c>
      <c r="I3" s="5">
        <v>6.1</v>
      </c>
      <c r="J3">
        <v>3.6</v>
      </c>
      <c r="K3">
        <v>2.4</v>
      </c>
      <c r="L3">
        <v>0.5</v>
      </c>
    </row>
    <row r="4" spans="1:12" ht="17" thickBot="1" x14ac:dyDescent="0.25">
      <c r="A4" s="6">
        <v>2023</v>
      </c>
      <c r="B4" s="7">
        <f xml:space="preserve"> ((1+J4/100) * (1+Prev_d_2016!L4/100) -1) * 100</f>
        <v>3.4264000000000072</v>
      </c>
      <c r="C4" s="7">
        <v>14.6</v>
      </c>
      <c r="D4" s="7">
        <v>7.8</v>
      </c>
      <c r="E4" s="7">
        <v>-0.2</v>
      </c>
      <c r="F4" s="7">
        <v>0.2</v>
      </c>
      <c r="G4" s="7">
        <f t="shared" si="0"/>
        <v>6.1747999999999914</v>
      </c>
      <c r="H4" s="7" t="s">
        <v>27</v>
      </c>
      <c r="I4" s="8">
        <v>3.2</v>
      </c>
      <c r="J4">
        <v>2.2000000000000002</v>
      </c>
      <c r="K4">
        <v>4.4000000000000004</v>
      </c>
      <c r="L4">
        <v>1.7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FDF95-C14E-2441-A8AE-81155023D6D3}">
  <dimension ref="A1:L4"/>
  <sheetViews>
    <sheetView workbookViewId="0">
      <selection activeCell="I4" sqref="I4"/>
    </sheetView>
  </sheetViews>
  <sheetFormatPr baseColWidth="10" defaultRowHeight="16" x14ac:dyDescent="0.2"/>
  <sheetData>
    <row r="1" spans="1:12" ht="17" thickBot="1" x14ac:dyDescent="0.25">
      <c r="A1" s="9" t="s">
        <v>0</v>
      </c>
      <c r="B1" s="12" t="s">
        <v>7</v>
      </c>
      <c r="C1" s="10" t="s">
        <v>1</v>
      </c>
      <c r="D1" s="10" t="s">
        <v>2</v>
      </c>
      <c r="E1" s="10" t="s">
        <v>3</v>
      </c>
      <c r="F1" s="10" t="s">
        <v>4</v>
      </c>
      <c r="G1" s="12" t="s">
        <v>5</v>
      </c>
      <c r="H1" s="12" t="s">
        <v>6</v>
      </c>
      <c r="I1" s="11" t="s">
        <v>25</v>
      </c>
      <c r="J1" t="s">
        <v>8</v>
      </c>
      <c r="K1" t="s">
        <v>10</v>
      </c>
      <c r="L1" t="s">
        <v>9</v>
      </c>
    </row>
    <row r="2" spans="1:12" x14ac:dyDescent="0.2">
      <c r="A2" s="1">
        <v>2022</v>
      </c>
      <c r="B2" s="2">
        <f xml:space="preserve"> ((1+J2/100) * (1+Prev_d_2016!L2/100) -1) * 100</f>
        <v>3.5215999999999914</v>
      </c>
      <c r="C2" s="2">
        <v>16.5</v>
      </c>
      <c r="D2" s="2">
        <v>7.4</v>
      </c>
      <c r="E2" s="2">
        <v>0</v>
      </c>
      <c r="F2" s="2">
        <v>1.3</v>
      </c>
      <c r="G2" s="2">
        <f xml:space="preserve"> ((1+K2/100) * (1+L2/100) -1) * 100</f>
        <v>3.6288000000000098</v>
      </c>
      <c r="H2" s="2" t="s">
        <v>27</v>
      </c>
      <c r="I2" s="14">
        <v>4.9000000000000004</v>
      </c>
      <c r="J2">
        <v>2.7</v>
      </c>
      <c r="K2">
        <v>1.2</v>
      </c>
      <c r="L2">
        <v>2.4</v>
      </c>
    </row>
    <row r="3" spans="1:12" x14ac:dyDescent="0.2">
      <c r="A3" s="4">
        <v>2023</v>
      </c>
      <c r="B3">
        <f xml:space="preserve"> ((1+J3/100) * (1+Prev_d_2016!L3/100) -1) * 100</f>
        <v>2.1107999999999905</v>
      </c>
      <c r="C3">
        <v>15.1</v>
      </c>
      <c r="D3">
        <v>7.7</v>
      </c>
      <c r="E3">
        <v>1.3</v>
      </c>
      <c r="F3">
        <v>1.8</v>
      </c>
      <c r="G3">
        <f t="shared" ref="G3:G4" si="0" xml:space="preserve"> ((1+K3/100) * (1+L3/100) -1) * 100</f>
        <v>5.6768000000000152</v>
      </c>
      <c r="H3" t="s">
        <v>27</v>
      </c>
      <c r="I3" s="5">
        <v>5</v>
      </c>
      <c r="J3">
        <v>1.2</v>
      </c>
      <c r="K3">
        <v>2.4</v>
      </c>
      <c r="L3">
        <v>3.2</v>
      </c>
    </row>
    <row r="4" spans="1:12" ht="17" thickBot="1" x14ac:dyDescent="0.25">
      <c r="A4" s="6">
        <v>2024</v>
      </c>
      <c r="B4" s="7">
        <f xml:space="preserve"> ((1+J4/100) * (1+Prev_d_2016!L4/100) -1) * 100</f>
        <v>2.9204000000000008</v>
      </c>
      <c r="C4" s="7">
        <v>14.9</v>
      </c>
      <c r="D4" s="7">
        <v>7.9</v>
      </c>
      <c r="E4" s="7">
        <v>1.6</v>
      </c>
      <c r="F4" s="7">
        <v>1.9</v>
      </c>
      <c r="G4" s="7">
        <f t="shared" si="0"/>
        <v>5.4664999999999742</v>
      </c>
      <c r="H4" s="7" t="s">
        <v>27</v>
      </c>
      <c r="I4" s="8">
        <v>3.6</v>
      </c>
      <c r="J4">
        <v>1.7</v>
      </c>
      <c r="K4">
        <v>3.5</v>
      </c>
      <c r="L4">
        <v>1.9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C98BA-6DFC-AE45-BAA6-42BC7B5AAAE8}">
  <dimension ref="A1:L4"/>
  <sheetViews>
    <sheetView workbookViewId="0">
      <selection activeCell="L4" sqref="A1:L4"/>
    </sheetView>
  </sheetViews>
  <sheetFormatPr baseColWidth="10" defaultRowHeight="16" x14ac:dyDescent="0.2"/>
  <sheetData>
    <row r="1" spans="1:12" ht="17" thickBot="1" x14ac:dyDescent="0.25">
      <c r="A1" s="9" t="s">
        <v>0</v>
      </c>
      <c r="B1" s="12" t="s">
        <v>7</v>
      </c>
      <c r="C1" s="10" t="s">
        <v>1</v>
      </c>
      <c r="D1" s="10" t="s">
        <v>2</v>
      </c>
      <c r="E1" s="10" t="s">
        <v>3</v>
      </c>
      <c r="F1" s="10" t="s">
        <v>4</v>
      </c>
      <c r="G1" s="12" t="s">
        <v>5</v>
      </c>
      <c r="H1" s="12" t="s">
        <v>6</v>
      </c>
      <c r="I1" s="11" t="s">
        <v>25</v>
      </c>
      <c r="J1" t="s">
        <v>8</v>
      </c>
      <c r="K1" t="s">
        <v>10</v>
      </c>
      <c r="L1" t="s">
        <v>9</v>
      </c>
    </row>
    <row r="2" spans="1:12" x14ac:dyDescent="0.2">
      <c r="A2" s="1">
        <v>2022</v>
      </c>
      <c r="B2" s="2">
        <f xml:space="preserve"> ((1+J2/100) * (1+Prev_d_2016!L2/100) -1) * 100</f>
        <v>3.4208000000000016</v>
      </c>
      <c r="C2" s="2">
        <v>16.5</v>
      </c>
      <c r="D2" s="2">
        <v>7.3</v>
      </c>
      <c r="E2" s="2">
        <v>0.4</v>
      </c>
      <c r="F2" s="2">
        <v>1.7</v>
      </c>
      <c r="G2" s="2">
        <f xml:space="preserve"> ((1+K2/100) * (1+L2/100) -1) * 100</f>
        <v>5.6780000000000053</v>
      </c>
      <c r="H2" s="2" t="s">
        <v>27</v>
      </c>
      <c r="I2" s="14">
        <v>3.8</v>
      </c>
      <c r="J2">
        <v>2.6</v>
      </c>
      <c r="K2">
        <v>3</v>
      </c>
      <c r="L2">
        <v>2.6</v>
      </c>
    </row>
    <row r="3" spans="1:12" x14ac:dyDescent="0.2">
      <c r="A3" s="4">
        <v>2023</v>
      </c>
      <c r="B3">
        <f xml:space="preserve"> ((1+J3/100) * (1+Prev_d_2016!L3/100) -1) * 100</f>
        <v>1.2026999999999788</v>
      </c>
      <c r="C3">
        <v>16.100000000000001</v>
      </c>
      <c r="D3">
        <v>7.5</v>
      </c>
      <c r="E3">
        <v>2.9</v>
      </c>
      <c r="F3">
        <v>2.5</v>
      </c>
      <c r="G3">
        <f t="shared" ref="G3:G4" si="0" xml:space="preserve"> ((1+K3/100) * (1+L3/100) -1) * 100</f>
        <v>5.9737999999999847</v>
      </c>
      <c r="H3" t="s">
        <v>27</v>
      </c>
      <c r="I3" s="5">
        <v>6.2</v>
      </c>
      <c r="J3">
        <v>0.3</v>
      </c>
      <c r="K3">
        <v>1.8</v>
      </c>
      <c r="L3">
        <v>4.0999999999999996</v>
      </c>
    </row>
    <row r="4" spans="1:12" ht="17" thickBot="1" x14ac:dyDescent="0.25">
      <c r="A4" s="6">
        <v>2024</v>
      </c>
      <c r="B4" s="7">
        <f xml:space="preserve"> ((1+J4/100) * (1+Prev_d_2016!L4/100) -1) * 100</f>
        <v>2.4143999999999943</v>
      </c>
      <c r="C4" s="7">
        <v>16.5</v>
      </c>
      <c r="D4" s="7">
        <v>8.1999999999999993</v>
      </c>
      <c r="E4" s="7">
        <v>2.7</v>
      </c>
      <c r="F4" s="7">
        <v>2.5</v>
      </c>
      <c r="G4" s="7">
        <f t="shared" si="0"/>
        <v>4.2359999999999953</v>
      </c>
      <c r="H4" s="7" t="s">
        <v>27</v>
      </c>
      <c r="I4" s="8">
        <v>4.7</v>
      </c>
      <c r="J4">
        <v>1.2</v>
      </c>
      <c r="K4">
        <v>1.2</v>
      </c>
      <c r="L4">
        <v>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F4F86-E60E-914C-8D48-71C710BF8613}">
  <dimension ref="A1:L4"/>
  <sheetViews>
    <sheetView workbookViewId="0">
      <selection activeCell="L4" sqref="A1:L4"/>
    </sheetView>
  </sheetViews>
  <sheetFormatPr baseColWidth="10" defaultRowHeight="16" x14ac:dyDescent="0.2"/>
  <sheetData>
    <row r="1" spans="1:12" ht="17" thickBot="1" x14ac:dyDescent="0.25">
      <c r="A1" s="9" t="s">
        <v>0</v>
      </c>
      <c r="B1" s="12" t="s">
        <v>7</v>
      </c>
      <c r="C1" s="10" t="s">
        <v>1</v>
      </c>
      <c r="D1" s="10" t="s">
        <v>2</v>
      </c>
      <c r="E1" s="10" t="s">
        <v>3</v>
      </c>
      <c r="F1" s="10" t="s">
        <v>4</v>
      </c>
      <c r="G1" s="12" t="s">
        <v>5</v>
      </c>
      <c r="H1" s="12" t="s">
        <v>6</v>
      </c>
      <c r="I1" s="11" t="s">
        <v>25</v>
      </c>
      <c r="J1" t="s">
        <v>8</v>
      </c>
      <c r="K1" t="s">
        <v>10</v>
      </c>
      <c r="L1" t="s">
        <v>9</v>
      </c>
    </row>
    <row r="2" spans="1:12" x14ac:dyDescent="0.2">
      <c r="A2" s="1">
        <v>2023</v>
      </c>
      <c r="B2" s="2">
        <f xml:space="preserve"> ((1+J2/100) * (1+Prev_d_2016!L2/100) -1) * 100</f>
        <v>1.5055999999999958</v>
      </c>
      <c r="C2" s="2">
        <v>16.600000000000001</v>
      </c>
      <c r="D2" s="2">
        <v>7.1</v>
      </c>
      <c r="E2" s="2">
        <v>3.4</v>
      </c>
      <c r="F2" s="2">
        <v>3</v>
      </c>
      <c r="G2" s="2">
        <f xml:space="preserve"> ((1+K2/100) * (1+L2/100) -1) * 100</f>
        <v>6.5899999999999848</v>
      </c>
      <c r="H2" s="2" t="s">
        <v>27</v>
      </c>
      <c r="I2" s="14">
        <v>5.5</v>
      </c>
      <c r="J2">
        <v>0.7</v>
      </c>
      <c r="K2">
        <v>2</v>
      </c>
      <c r="L2">
        <v>4.5</v>
      </c>
    </row>
    <row r="3" spans="1:12" x14ac:dyDescent="0.2">
      <c r="A3" s="4">
        <v>2024</v>
      </c>
      <c r="B3">
        <f xml:space="preserve"> ((1+J3/100) * (1+Prev_d_2016!L3/100) -1) * 100</f>
        <v>1.9089999999999829</v>
      </c>
      <c r="C3">
        <v>16.3</v>
      </c>
      <c r="D3">
        <v>7.5</v>
      </c>
      <c r="E3">
        <v>3.4</v>
      </c>
      <c r="F3">
        <v>3.1</v>
      </c>
      <c r="G3">
        <f t="shared" ref="G3:G4" si="0" xml:space="preserve"> ((1+K3/100) * (1+L3/100) -1) * 100</f>
        <v>3.112999999999988</v>
      </c>
      <c r="H3" t="s">
        <v>27</v>
      </c>
      <c r="I3" s="5">
        <v>4.2</v>
      </c>
      <c r="J3">
        <v>1</v>
      </c>
      <c r="K3">
        <v>0.5</v>
      </c>
      <c r="L3">
        <v>2.6</v>
      </c>
    </row>
    <row r="4" spans="1:12" ht="17" thickBot="1" x14ac:dyDescent="0.25">
      <c r="A4" s="6">
        <v>2025</v>
      </c>
      <c r="B4" s="7">
        <f xml:space="preserve"> ((1+J4/100) * (1+Prev_d_2016!L4/100) -1) * 100</f>
        <v>2.7179999999999982</v>
      </c>
      <c r="C4" s="7">
        <v>15.6</v>
      </c>
      <c r="D4" s="7">
        <v>7.6</v>
      </c>
      <c r="E4" s="7">
        <v>2.9</v>
      </c>
      <c r="F4" s="7">
        <v>3.2</v>
      </c>
      <c r="G4" s="7">
        <f t="shared" si="0"/>
        <v>3.7339999999999929</v>
      </c>
      <c r="H4" s="7" t="s">
        <v>27</v>
      </c>
      <c r="I4" s="8">
        <v>3.6</v>
      </c>
      <c r="J4">
        <v>1.5</v>
      </c>
      <c r="K4">
        <v>1.7</v>
      </c>
      <c r="L4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2CD2D-6164-954F-8250-7A3EE9675605}">
  <dimension ref="A1:L4"/>
  <sheetViews>
    <sheetView workbookViewId="0">
      <selection activeCell="P28" sqref="P28"/>
    </sheetView>
  </sheetViews>
  <sheetFormatPr baseColWidth="10" defaultRowHeight="16" x14ac:dyDescent="0.2"/>
  <sheetData>
    <row r="1" spans="1:12" ht="17" thickBot="1" x14ac:dyDescent="0.25">
      <c r="A1" s="9" t="s">
        <v>0</v>
      </c>
      <c r="B1" s="12" t="s">
        <v>7</v>
      </c>
      <c r="C1" s="10" t="s">
        <v>1</v>
      </c>
      <c r="D1" s="10" t="s">
        <v>2</v>
      </c>
      <c r="E1" s="10" t="s">
        <v>3</v>
      </c>
      <c r="F1" s="10" t="s">
        <v>4</v>
      </c>
      <c r="G1" s="12" t="s">
        <v>5</v>
      </c>
      <c r="H1" s="12" t="s">
        <v>6</v>
      </c>
      <c r="I1" s="11" t="s">
        <v>25</v>
      </c>
      <c r="J1" t="s">
        <v>8</v>
      </c>
      <c r="K1" t="s">
        <v>10</v>
      </c>
      <c r="L1" t="s">
        <v>9</v>
      </c>
    </row>
    <row r="2" spans="1:12" x14ac:dyDescent="0.2">
      <c r="A2" s="1">
        <v>2023</v>
      </c>
      <c r="B2" s="2">
        <f xml:space="preserve"> ((1+J2/100) * (1+Prev_d_2016!L2/100) -1) * 100</f>
        <v>1.7071999999999976</v>
      </c>
      <c r="C2" s="2">
        <v>17.7</v>
      </c>
      <c r="D2" s="2">
        <v>7.3</v>
      </c>
      <c r="E2" s="2">
        <v>3.4</v>
      </c>
      <c r="F2" s="2">
        <v>3</v>
      </c>
      <c r="G2" s="2">
        <f xml:space="preserve"> ((1+K2/100) * (1+L2/100) -1) * 100</f>
        <v>9.6172999999999842</v>
      </c>
      <c r="H2" s="2" t="s">
        <v>27</v>
      </c>
      <c r="I2" s="14">
        <v>5</v>
      </c>
      <c r="J2">
        <v>0.9</v>
      </c>
      <c r="K2">
        <v>4.0999999999999996</v>
      </c>
      <c r="L2">
        <v>5.3</v>
      </c>
    </row>
    <row r="3" spans="1:12" x14ac:dyDescent="0.2">
      <c r="A3" s="4">
        <v>2024</v>
      </c>
      <c r="B3">
        <f xml:space="preserve"> ((1+J3/100) * (1+Prev_d_2016!L3/100) -1) * 100</f>
        <v>1.8080999999999792</v>
      </c>
      <c r="C3">
        <v>17.3</v>
      </c>
      <c r="D3">
        <v>7.6</v>
      </c>
      <c r="E3">
        <v>3.6</v>
      </c>
      <c r="F3">
        <v>3.2</v>
      </c>
      <c r="G3">
        <f t="shared" ref="G3:G4" si="0" xml:space="preserve"> ((1+K3/100) * (1+L3/100) -1) * 100</f>
        <v>3.112999999999988</v>
      </c>
      <c r="H3" t="s">
        <v>27</v>
      </c>
      <c r="I3" s="5">
        <v>4.0999999999999996</v>
      </c>
      <c r="J3">
        <v>0.9</v>
      </c>
      <c r="K3">
        <v>0.5</v>
      </c>
      <c r="L3">
        <v>2.6</v>
      </c>
    </row>
    <row r="4" spans="1:12" ht="17" thickBot="1" x14ac:dyDescent="0.25">
      <c r="A4" s="6">
        <v>2025</v>
      </c>
      <c r="B4" s="7">
        <f xml:space="preserve"> ((1+J4/100) * (1+Prev_d_2016!L4/100) -1) * 100</f>
        <v>2.5155999999999956</v>
      </c>
      <c r="C4" s="7">
        <v>16.7</v>
      </c>
      <c r="D4" s="7">
        <v>7.8</v>
      </c>
      <c r="E4" s="7">
        <v>2.8</v>
      </c>
      <c r="F4" s="7">
        <v>3.3</v>
      </c>
      <c r="G4" s="7">
        <f t="shared" si="0"/>
        <v>3.2240000000000046</v>
      </c>
      <c r="H4" s="7" t="s">
        <v>27</v>
      </c>
      <c r="I4" s="8">
        <v>3.2</v>
      </c>
      <c r="J4">
        <v>1.3</v>
      </c>
      <c r="K4">
        <v>1.2</v>
      </c>
      <c r="L4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F9916-9A85-0944-BD66-750D09EC1F74}">
  <dimension ref="A1:L4"/>
  <sheetViews>
    <sheetView workbookViewId="0">
      <selection activeCell="L4" sqref="A1:L4"/>
    </sheetView>
  </sheetViews>
  <sheetFormatPr baseColWidth="10" defaultRowHeight="16" x14ac:dyDescent="0.2"/>
  <sheetData>
    <row r="1" spans="1:12" ht="17" thickBot="1" x14ac:dyDescent="0.25">
      <c r="A1" s="9" t="s">
        <v>0</v>
      </c>
      <c r="B1" s="12" t="s">
        <v>7</v>
      </c>
      <c r="C1" s="10" t="s">
        <v>1</v>
      </c>
      <c r="D1" s="10" t="s">
        <v>2</v>
      </c>
      <c r="E1" s="10" t="s">
        <v>3</v>
      </c>
      <c r="F1" s="10" t="s">
        <v>4</v>
      </c>
      <c r="G1" s="12" t="s">
        <v>5</v>
      </c>
      <c r="H1" s="12" t="s">
        <v>6</v>
      </c>
      <c r="I1" s="11" t="s">
        <v>25</v>
      </c>
      <c r="J1" t="s">
        <v>8</v>
      </c>
      <c r="K1" t="s">
        <v>10</v>
      </c>
      <c r="L1" t="s">
        <v>9</v>
      </c>
    </row>
    <row r="2" spans="1:12" x14ac:dyDescent="0.2">
      <c r="A2" s="1">
        <v>2024</v>
      </c>
      <c r="B2" s="2">
        <f xml:space="preserve"> ((1+J2/100) * (1+Prev_d_2016!L2/100) -1) * 100</f>
        <v>1.6064000000000078</v>
      </c>
      <c r="C2" s="2">
        <v>17.600000000000001</v>
      </c>
      <c r="D2" s="2">
        <v>7.5</v>
      </c>
      <c r="E2" s="2">
        <v>3.6</v>
      </c>
      <c r="F2" s="2">
        <v>2.9</v>
      </c>
      <c r="G2" s="2">
        <f xml:space="preserve"> ((1+K2/100) * (1+L2/100) -1) * 100</f>
        <v>3.5173999999999817</v>
      </c>
      <c r="H2" s="2" t="s">
        <v>27</v>
      </c>
      <c r="I2" s="14">
        <v>3.1</v>
      </c>
      <c r="J2">
        <v>0.8</v>
      </c>
      <c r="K2">
        <v>0.6</v>
      </c>
      <c r="L2">
        <v>2.9</v>
      </c>
    </row>
    <row r="3" spans="1:12" x14ac:dyDescent="0.2">
      <c r="A3" s="4">
        <v>2025</v>
      </c>
      <c r="B3">
        <f xml:space="preserve"> ((1+J3/100) * (1+Prev_d_2016!L3/100) -1) * 100</f>
        <v>2.1107999999999905</v>
      </c>
      <c r="C3">
        <v>16.899999999999999</v>
      </c>
      <c r="D3">
        <v>7.8</v>
      </c>
      <c r="E3">
        <v>2.8</v>
      </c>
      <c r="F3">
        <v>3</v>
      </c>
      <c r="G3">
        <f t="shared" ref="G3:G4" si="0" xml:space="preserve"> ((1+K3/100) * (1+L3/100) -1) * 100</f>
        <v>2.9209999999999958</v>
      </c>
      <c r="H3" t="s">
        <v>27</v>
      </c>
      <c r="I3" s="5">
        <v>3.2</v>
      </c>
      <c r="J3">
        <v>1.2</v>
      </c>
      <c r="K3">
        <v>1.4</v>
      </c>
      <c r="L3">
        <v>1.5</v>
      </c>
    </row>
    <row r="4" spans="1:12" ht="17" thickBot="1" x14ac:dyDescent="0.25">
      <c r="A4" s="6">
        <v>2026</v>
      </c>
      <c r="B4" s="7">
        <f xml:space="preserve"> ((1+J4/100) * (1+Prev_d_2016!L4/100) -1) * 100</f>
        <v>2.8191999999999995</v>
      </c>
      <c r="C4" s="7">
        <v>16.5</v>
      </c>
      <c r="D4" s="7">
        <v>7.7</v>
      </c>
      <c r="E4" s="7">
        <v>2.5</v>
      </c>
      <c r="F4" s="7">
        <v>3</v>
      </c>
      <c r="G4" s="7">
        <f t="shared" si="0"/>
        <v>4.0383999999999975</v>
      </c>
      <c r="H4" s="7" t="s">
        <v>27</v>
      </c>
      <c r="I4" s="8">
        <v>3.3</v>
      </c>
      <c r="J4">
        <v>1.6</v>
      </c>
      <c r="K4">
        <v>2.4</v>
      </c>
      <c r="L4">
        <v>1.6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1856A-6598-C244-A526-C6D88E4F511C}">
  <dimension ref="A1:L4"/>
  <sheetViews>
    <sheetView workbookViewId="0">
      <selection activeCell="L4" sqref="A1:L4"/>
    </sheetView>
  </sheetViews>
  <sheetFormatPr baseColWidth="10" defaultRowHeight="16" x14ac:dyDescent="0.2"/>
  <sheetData>
    <row r="1" spans="1:12" ht="17" thickBot="1" x14ac:dyDescent="0.25">
      <c r="A1" s="9" t="s">
        <v>0</v>
      </c>
      <c r="B1" s="12" t="s">
        <v>7</v>
      </c>
      <c r="C1" s="10" t="s">
        <v>1</v>
      </c>
      <c r="D1" s="10" t="s">
        <v>2</v>
      </c>
      <c r="E1" s="10" t="s">
        <v>3</v>
      </c>
      <c r="F1" s="10" t="s">
        <v>4</v>
      </c>
      <c r="G1" s="12" t="s">
        <v>5</v>
      </c>
      <c r="H1" s="12" t="s">
        <v>6</v>
      </c>
      <c r="I1" s="11" t="s">
        <v>25</v>
      </c>
      <c r="J1" t="s">
        <v>8</v>
      </c>
      <c r="K1" t="s">
        <v>10</v>
      </c>
      <c r="L1" t="s">
        <v>9</v>
      </c>
    </row>
    <row r="2" spans="1:12" x14ac:dyDescent="0.2">
      <c r="A2" s="1">
        <v>2024</v>
      </c>
      <c r="B2" s="2">
        <f xml:space="preserve"> ((1+J2/100) * (1+Prev_d_2016!L2/100) -1) * 100</f>
        <v>1.9087999999999994</v>
      </c>
      <c r="C2" s="2">
        <v>18</v>
      </c>
      <c r="D2" s="2">
        <v>7.4</v>
      </c>
      <c r="E2" s="2">
        <v>3.6</v>
      </c>
      <c r="F2" s="2">
        <v>3</v>
      </c>
      <c r="G2" s="2">
        <f xml:space="preserve"> ((1+K2/100) * (1+L2/100) -1) * 100</f>
        <v>1.167499999999988</v>
      </c>
      <c r="H2" s="2" t="s">
        <v>27</v>
      </c>
      <c r="I2" s="14">
        <v>2.8</v>
      </c>
      <c r="J2">
        <v>1.1000000000000001</v>
      </c>
      <c r="K2">
        <v>-1.3</v>
      </c>
      <c r="L2">
        <v>2.5</v>
      </c>
    </row>
    <row r="3" spans="1:12" x14ac:dyDescent="0.2">
      <c r="A3" s="4">
        <v>2025</v>
      </c>
      <c r="B3" s="16">
        <f xml:space="preserve"> ((1+J3/100) * (1+Prev_d_2016!L3/100) -1) * 100</f>
        <v>1.8080999999999792</v>
      </c>
      <c r="C3" s="16">
        <v>17.600000000000001</v>
      </c>
      <c r="D3" s="16">
        <v>7.8</v>
      </c>
      <c r="E3" s="16">
        <v>2.1</v>
      </c>
      <c r="F3" s="16">
        <v>3.2</v>
      </c>
      <c r="G3" s="16">
        <f t="shared" ref="G3:G4" si="0" xml:space="preserve"> ((1+K3/100) * (1+L3/100) -1) * 100</f>
        <v>1.2969999999999926</v>
      </c>
      <c r="H3" s="16" t="s">
        <v>27</v>
      </c>
      <c r="I3" s="5">
        <v>2.8</v>
      </c>
      <c r="J3">
        <v>0.9</v>
      </c>
      <c r="K3">
        <v>-0.2</v>
      </c>
      <c r="L3">
        <v>1.5</v>
      </c>
    </row>
    <row r="4" spans="1:12" ht="17" thickBot="1" x14ac:dyDescent="0.25">
      <c r="A4" s="6">
        <v>2026</v>
      </c>
      <c r="B4" s="7">
        <f xml:space="preserve"> ((1+J4/100) * (1+Prev_d_2016!L4/100) -1) * 100</f>
        <v>2.5155999999999956</v>
      </c>
      <c r="C4" s="7">
        <v>17</v>
      </c>
      <c r="D4" s="7">
        <v>7.8</v>
      </c>
      <c r="E4" s="7">
        <v>2</v>
      </c>
      <c r="F4" s="7">
        <v>3.3</v>
      </c>
      <c r="G4" s="7">
        <f t="shared" si="0"/>
        <v>3.7335999999999814</v>
      </c>
      <c r="H4" s="7" t="s">
        <v>27</v>
      </c>
      <c r="I4" s="8">
        <v>2.8</v>
      </c>
      <c r="J4">
        <v>1.3</v>
      </c>
      <c r="K4">
        <v>2.1</v>
      </c>
      <c r="L4">
        <v>1.6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D4546-ED41-5640-9900-76063A280F17}">
  <dimension ref="A1:L4"/>
  <sheetViews>
    <sheetView workbookViewId="0">
      <selection activeCell="L4" sqref="A1:L4"/>
    </sheetView>
  </sheetViews>
  <sheetFormatPr baseColWidth="10" defaultRowHeight="16" x14ac:dyDescent="0.2"/>
  <sheetData>
    <row r="1" spans="1:12" ht="17" thickBot="1" x14ac:dyDescent="0.25">
      <c r="A1" s="9" t="s">
        <v>0</v>
      </c>
      <c r="B1" s="12" t="s">
        <v>7</v>
      </c>
      <c r="C1" s="10" t="s">
        <v>1</v>
      </c>
      <c r="D1" s="10" t="s">
        <v>2</v>
      </c>
      <c r="E1" s="10" t="s">
        <v>3</v>
      </c>
      <c r="F1" s="10" t="s">
        <v>4</v>
      </c>
      <c r="G1" s="12" t="s">
        <v>5</v>
      </c>
      <c r="H1" s="12" t="s">
        <v>6</v>
      </c>
      <c r="I1" s="11" t="s">
        <v>25</v>
      </c>
      <c r="J1" t="s">
        <v>8</v>
      </c>
      <c r="K1" t="s">
        <v>10</v>
      </c>
      <c r="L1" t="s">
        <v>9</v>
      </c>
    </row>
    <row r="2" spans="1:12" x14ac:dyDescent="0.2">
      <c r="A2" s="1">
        <v>2025</v>
      </c>
      <c r="B2" s="2">
        <f xml:space="preserve"> ((1+J2/100) * (1+Prev_d_2016!L2/100) -1) * 100</f>
        <v>1.404800000000006</v>
      </c>
      <c r="C2" s="2">
        <v>18.100000000000001</v>
      </c>
      <c r="D2" s="2">
        <v>7.5</v>
      </c>
      <c r="E2" s="2">
        <v>2.1</v>
      </c>
      <c r="F2" s="2">
        <v>3.4</v>
      </c>
      <c r="G2" s="2">
        <f xml:space="preserve"> ((1+K2/100) * (1+L2/100) -1) * 100</f>
        <v>0.69399999999999462</v>
      </c>
      <c r="H2" s="2" t="s">
        <v>27</v>
      </c>
      <c r="I2" s="14">
        <v>2.2999999999999998</v>
      </c>
      <c r="J2">
        <v>0.6</v>
      </c>
      <c r="K2">
        <v>-0.5</v>
      </c>
      <c r="L2">
        <v>1.2</v>
      </c>
    </row>
    <row r="3" spans="1:12" x14ac:dyDescent="0.2">
      <c r="A3" s="4">
        <v>2026</v>
      </c>
      <c r="B3" s="16">
        <f xml:space="preserve"> ((1+J3/100) * (1+Prev_d_2016!L3/100) -1) * 100</f>
        <v>1.9089999999999829</v>
      </c>
      <c r="C3" s="16">
        <v>17.399999999999999</v>
      </c>
      <c r="D3" s="16">
        <v>7.7</v>
      </c>
      <c r="E3" s="16">
        <v>1.9</v>
      </c>
      <c r="F3" s="16">
        <v>3.6</v>
      </c>
      <c r="G3" s="16">
        <f t="shared" ref="G3:G4" si="0" xml:space="preserve"> ((1+K3/100) * (1+L3/100) -1) * 100</f>
        <v>2.6167999999999969</v>
      </c>
      <c r="H3" s="16" t="s">
        <v>27</v>
      </c>
      <c r="I3" s="5">
        <v>2.2999999999999998</v>
      </c>
      <c r="J3">
        <v>1</v>
      </c>
      <c r="K3">
        <v>1.2</v>
      </c>
      <c r="L3">
        <v>1.4</v>
      </c>
    </row>
    <row r="4" spans="1:12" ht="17" thickBot="1" x14ac:dyDescent="0.25">
      <c r="A4" s="6">
        <v>2027</v>
      </c>
      <c r="B4" s="7">
        <f xml:space="preserve"> ((1+J4/100) * (1+Prev_d_2016!L4/100) -1) * 100</f>
        <v>2.4143999999999943</v>
      </c>
      <c r="C4" s="7">
        <v>16.8</v>
      </c>
      <c r="D4" s="7">
        <v>7.4</v>
      </c>
      <c r="E4" s="7">
        <v>2.2000000000000002</v>
      </c>
      <c r="F4" s="7">
        <v>3.8</v>
      </c>
      <c r="G4" s="7">
        <f t="shared" si="0"/>
        <v>3.3269999999999911</v>
      </c>
      <c r="H4" s="7" t="s">
        <v>27</v>
      </c>
      <c r="I4" s="8">
        <v>2.2999999999999998</v>
      </c>
      <c r="J4">
        <v>1.2</v>
      </c>
      <c r="K4">
        <v>1.8</v>
      </c>
      <c r="L4">
        <v>1.5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4E83E-1A44-3F40-9CC4-2B685F3EDFCE}">
  <dimension ref="A1:L4"/>
  <sheetViews>
    <sheetView workbookViewId="0">
      <selection activeCell="L4" sqref="A1:L4"/>
    </sheetView>
  </sheetViews>
  <sheetFormatPr baseColWidth="10" defaultRowHeight="16" x14ac:dyDescent="0.2"/>
  <sheetData>
    <row r="1" spans="1:12" ht="17" thickBot="1" x14ac:dyDescent="0.25">
      <c r="A1" s="9" t="s">
        <v>0</v>
      </c>
      <c r="B1" s="12" t="s">
        <v>7</v>
      </c>
      <c r="C1" s="10" t="s">
        <v>1</v>
      </c>
      <c r="D1" s="10" t="s">
        <v>2</v>
      </c>
      <c r="E1" s="10" t="s">
        <v>3</v>
      </c>
      <c r="F1" s="10" t="s">
        <v>4</v>
      </c>
      <c r="G1" s="12" t="s">
        <v>5</v>
      </c>
      <c r="H1" s="12" t="s">
        <v>6</v>
      </c>
      <c r="I1" s="11" t="s">
        <v>25</v>
      </c>
      <c r="J1" t="s">
        <v>8</v>
      </c>
      <c r="K1" t="s">
        <v>10</v>
      </c>
      <c r="L1" t="s">
        <v>9</v>
      </c>
    </row>
    <row r="2" spans="1:12" x14ac:dyDescent="0.2">
      <c r="A2" s="1">
        <v>2025</v>
      </c>
      <c r="B2" s="2">
        <f xml:space="preserve"> ((1+J2/100) * (1+Prev_d_2016!L2/100) -1) * 100</f>
        <v>1.6064000000000078</v>
      </c>
      <c r="C2" s="2">
        <v>18.5</v>
      </c>
      <c r="D2" s="2">
        <v>7.6</v>
      </c>
      <c r="E2" s="2">
        <v>2.2000000000000002</v>
      </c>
      <c r="F2" s="2">
        <v>3.4</v>
      </c>
      <c r="G2" s="2">
        <f xml:space="preserve"> ((1+K2/100) * (1+L2/100) -1) * 100</f>
        <v>1.2010999999999772</v>
      </c>
      <c r="H2" s="2" t="s">
        <v>27</v>
      </c>
      <c r="I2" s="14">
        <v>2.1</v>
      </c>
      <c r="J2">
        <v>0.8</v>
      </c>
      <c r="K2">
        <v>0.1</v>
      </c>
      <c r="L2">
        <v>1.1000000000000001</v>
      </c>
    </row>
    <row r="3" spans="1:12" x14ac:dyDescent="0.2">
      <c r="A3" s="4">
        <v>2026</v>
      </c>
      <c r="B3" s="16">
        <f xml:space="preserve"> ((1+J3/100) * (1+Prev_d_2016!L3/100) -1) * 100</f>
        <v>1.9089999999999829</v>
      </c>
      <c r="C3" s="16">
        <v>17.899999999999999</v>
      </c>
      <c r="D3" s="16">
        <v>7.8</v>
      </c>
      <c r="E3" s="16">
        <v>2</v>
      </c>
      <c r="F3" s="16">
        <v>3.5</v>
      </c>
      <c r="G3" s="16">
        <f t="shared" ref="G3:G4" si="0" xml:space="preserve"> ((1+K3/100) * (1+L3/100) -1) * 100</f>
        <v>2.6167999999999969</v>
      </c>
      <c r="H3" s="16" t="s">
        <v>27</v>
      </c>
      <c r="I3" s="5">
        <v>2.1</v>
      </c>
      <c r="J3">
        <v>1</v>
      </c>
      <c r="K3">
        <v>1.2</v>
      </c>
      <c r="L3">
        <v>1.4</v>
      </c>
    </row>
    <row r="4" spans="1:12" ht="17" thickBot="1" x14ac:dyDescent="0.25">
      <c r="A4" s="6">
        <v>2027</v>
      </c>
      <c r="B4" s="7">
        <f xml:space="preserve"> ((1+J4/100) * (1+Prev_d_2016!L4/100) -1) * 100</f>
        <v>2.2119999999999918</v>
      </c>
      <c r="C4" s="7">
        <v>17.5</v>
      </c>
      <c r="D4" s="7">
        <v>7.6</v>
      </c>
      <c r="E4" s="7">
        <v>2.1</v>
      </c>
      <c r="F4" s="7">
        <v>3.8</v>
      </c>
      <c r="G4" s="7">
        <f t="shared" si="0"/>
        <v>3.1227999999999811</v>
      </c>
      <c r="H4" s="7" t="s">
        <v>27</v>
      </c>
      <c r="I4" s="8">
        <v>2.2000000000000002</v>
      </c>
      <c r="J4">
        <v>1</v>
      </c>
      <c r="K4">
        <v>1.9</v>
      </c>
      <c r="L4">
        <v>1.2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FDBB5-E1AD-224B-99A9-19FB2D73B4ED}">
  <dimension ref="A1:L5"/>
  <sheetViews>
    <sheetView tabSelected="1" workbookViewId="0">
      <selection activeCell="G23" sqref="G23"/>
    </sheetView>
  </sheetViews>
  <sheetFormatPr baseColWidth="10" defaultRowHeight="16" x14ac:dyDescent="0.2"/>
  <sheetData>
    <row r="1" spans="1:12" ht="17" thickBot="1" x14ac:dyDescent="0.25">
      <c r="A1" s="9" t="s">
        <v>0</v>
      </c>
      <c r="B1" s="12" t="s">
        <v>7</v>
      </c>
      <c r="C1" s="2" t="s">
        <v>1</v>
      </c>
      <c r="D1" s="10" t="s">
        <v>2</v>
      </c>
      <c r="E1" s="10" t="s">
        <v>3</v>
      </c>
      <c r="F1" s="10" t="s">
        <v>4</v>
      </c>
      <c r="G1" s="12" t="s">
        <v>5</v>
      </c>
      <c r="H1" s="12" t="s">
        <v>6</v>
      </c>
      <c r="I1" s="3" t="s">
        <v>25</v>
      </c>
      <c r="J1" t="s">
        <v>8</v>
      </c>
      <c r="K1" t="s">
        <v>10</v>
      </c>
      <c r="L1" t="s">
        <v>9</v>
      </c>
    </row>
    <row r="2" spans="1:12" x14ac:dyDescent="0.2">
      <c r="A2" s="1">
        <v>2026</v>
      </c>
      <c r="B2" s="2">
        <f xml:space="preserve"> ((1+J2/100) * (1+Prev_d_2016!L2/100) -1) * 100</f>
        <v>1.7071999999999976</v>
      </c>
      <c r="C2" s="16" t="s">
        <v>27</v>
      </c>
      <c r="D2" s="2">
        <v>8</v>
      </c>
      <c r="E2" s="2">
        <v>2.2999999999999998</v>
      </c>
      <c r="F2" s="2">
        <v>3.6</v>
      </c>
      <c r="G2" s="2">
        <f xml:space="preserve"> ((1+K2/100) * (1+L2/100) -1) * 100</f>
        <v>2.1097999999999839</v>
      </c>
      <c r="H2" s="2" t="s">
        <v>27</v>
      </c>
      <c r="I2" s="5" t="s">
        <v>27</v>
      </c>
      <c r="J2">
        <v>0.9</v>
      </c>
      <c r="K2">
        <v>0.7</v>
      </c>
      <c r="L2">
        <v>1.4</v>
      </c>
    </row>
    <row r="3" spans="1:12" x14ac:dyDescent="0.2">
      <c r="A3" s="4">
        <v>2027</v>
      </c>
      <c r="B3" s="16">
        <f xml:space="preserve"> ((1+J3/100) * (1+Prev_d_2016!L3/100) -1) * 100</f>
        <v>1.7071999999999976</v>
      </c>
      <c r="C3" s="16" t="s">
        <v>27</v>
      </c>
      <c r="D3" s="16">
        <v>7.9</v>
      </c>
      <c r="E3" s="16">
        <v>2.6</v>
      </c>
      <c r="F3" s="16">
        <v>3.9</v>
      </c>
      <c r="G3" s="16">
        <f t="shared" ref="G3:G4" si="0" xml:space="preserve"> ((1+K3/100) * (1+L3/100) -1) * 100</f>
        <v>2.8194999999999748</v>
      </c>
      <c r="H3" s="16" t="s">
        <v>27</v>
      </c>
      <c r="I3" s="5" t="s">
        <v>27</v>
      </c>
      <c r="J3">
        <v>0.8</v>
      </c>
      <c r="K3">
        <v>1.5</v>
      </c>
      <c r="L3">
        <v>1.3</v>
      </c>
    </row>
    <row r="4" spans="1:12" ht="17" thickBot="1" x14ac:dyDescent="0.25">
      <c r="A4" s="6">
        <v>2028</v>
      </c>
      <c r="B4" s="7">
        <f xml:space="preserve"> ((1+J4/100) * (1+Prev_d_2016!L4/100) -1) * 100</f>
        <v>2.4143999999999943</v>
      </c>
      <c r="C4" s="7" t="s">
        <v>27</v>
      </c>
      <c r="D4" s="7">
        <v>7.7</v>
      </c>
      <c r="E4" s="7">
        <v>2.6</v>
      </c>
      <c r="F4" s="7">
        <v>4.0999999999999996</v>
      </c>
      <c r="G4" s="7">
        <f t="shared" si="0"/>
        <v>3.1239999999999934</v>
      </c>
      <c r="H4" s="7" t="s">
        <v>27</v>
      </c>
      <c r="I4" s="8" t="s">
        <v>27</v>
      </c>
      <c r="J4">
        <v>1.2</v>
      </c>
      <c r="K4">
        <v>1.6</v>
      </c>
      <c r="L4">
        <v>1.5</v>
      </c>
    </row>
    <row r="5" spans="1:12" x14ac:dyDescent="0.2">
      <c r="C5" s="16"/>
      <c r="I5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24</vt:i4>
      </vt:variant>
    </vt:vector>
  </HeadingPairs>
  <TitlesOfParts>
    <vt:vector size="24" baseType="lpstr">
      <vt:lpstr>Explication</vt:lpstr>
      <vt:lpstr>Prev_j_2015</vt:lpstr>
      <vt:lpstr>Prev_d_2015</vt:lpstr>
      <vt:lpstr>Prev_j_2016</vt:lpstr>
      <vt:lpstr>Prev_d_2016</vt:lpstr>
      <vt:lpstr>Prev_j_2017</vt:lpstr>
      <vt:lpstr>Prev_d_2017</vt:lpstr>
      <vt:lpstr>Prev_j_2018</vt:lpstr>
      <vt:lpstr>Prev_d_2018</vt:lpstr>
      <vt:lpstr>Prev_j_2019</vt:lpstr>
      <vt:lpstr>Prev_d_2019</vt:lpstr>
      <vt:lpstr>Prev_j_2020</vt:lpstr>
      <vt:lpstr>Prev_d_2020</vt:lpstr>
      <vt:lpstr>Prev_j_2021</vt:lpstr>
      <vt:lpstr>Prev_d_2021</vt:lpstr>
      <vt:lpstr>Prev_j_2022</vt:lpstr>
      <vt:lpstr>Prev_d_2022</vt:lpstr>
      <vt:lpstr>Prev_j_2023</vt:lpstr>
      <vt:lpstr>Prev_d_2023</vt:lpstr>
      <vt:lpstr>Prev_j_2024</vt:lpstr>
      <vt:lpstr>Prev_d_2024</vt:lpstr>
      <vt:lpstr>Prev_j_2025</vt:lpstr>
      <vt:lpstr>Prev_d_2025</vt:lpstr>
      <vt:lpstr>Last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kubiak</dc:creator>
  <cp:lastModifiedBy>etienne kubiak</cp:lastModifiedBy>
  <dcterms:created xsi:type="dcterms:W3CDTF">2026-04-20T07:44:27Z</dcterms:created>
  <dcterms:modified xsi:type="dcterms:W3CDTF">2026-04-25T13:46:41Z</dcterms:modified>
</cp:coreProperties>
</file>